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7989ef9a5749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nected Dot Data" sheetId="1" r:id="R83305735ddd945ed"/>
    <x:sheet xmlns:r="http://schemas.openxmlformats.org/officeDocument/2006/relationships" name="Long Data" sheetId="2" r:id="R6c6c9bd64ab54f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%"/>
  </x:numFmts>
  <x:fonts count="7">
    <x:font>
      <x:sz val="11"/>
      <x:name val="Carlito"/>
    </x:font>
    <x:font>
      <x:b/>
      <x:sz val="15"/>
      <x:color rgb="FF173F35"/>
      <x:name val="Arial"/>
    </x:font>
    <x:font>
      <x:i/>
      <x:sz val="10"/>
      <x:color rgb="FF51635E"/>
      <x:name val="Arial"/>
    </x:font>
    <x:font>
      <x:b/>
      <x:sz val="10"/>
      <x:color rgb="FFFFFFFF"/>
      <x:name val="Arial"/>
    </x:font>
    <x:font>
      <x:sz val="10"/>
      <x:color rgb="FF24322E"/>
      <x:name val="Arial"/>
    </x:font>
    <x:font>
      <x:i/>
      <x:sz val="10"/>
      <x:color rgb="FF173F35"/>
      <x:name val="Arial"/>
    </x:font>
    <x:font>
      <x:sz val="9"/>
      <x:color rgb="FF51635E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F35"/>
      </x:patternFill>
    </x:fill>
    <x:fill>
      <x:patternFill patternType="solid">
        <x:fgColor rgb="FFD9EAF3"/>
      </x:patternFill>
    </x:fill>
    <x:fill>
      <x:patternFill patternType="solid">
        <x:fgColor rgb="FFFBE8D5"/>
      </x:patternFill>
    </x:fill>
    <x:fill>
      <x:patternFill patternType="solid">
        <x:fgColor rgb="FFE8F1EE"/>
      </x:patternFill>
    </x:fill>
  </x:fills>
  <x:borders count="6">
    <x:border/>
    <x:border>
      <x:bottom style="thin">
        <x:color rgb="FF173F35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CCD8D4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0" fontId="4" fillId="3" borderId="5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200" fontId="4" fillId="4" borderId="5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1" fontId="4" fillId="4" borderId="0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vertical="center"/>
    </x:xf>
    <x:xf numFmtId="201" fontId="4" fillId="4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b3897f8639428d" /><Relationship Type="http://schemas.openxmlformats.org/officeDocument/2006/relationships/theme" Target="/xl/theme/theme1.xml" Id="Rf8030ba9a25643d3" /><Relationship Type="http://schemas.openxmlformats.org/officeDocument/2006/relationships/sharedStrings" Target="/xl/sharedStrings.xml" Id="Rc40ec7b95a3e440e" /><Relationship Type="http://schemas.openxmlformats.org/officeDocument/2006/relationships/worksheet" Target="/xl/worksheets/sheet1.xml" Id="R83305735ddd945ed" /><Relationship Type="http://schemas.openxmlformats.org/officeDocument/2006/relationships/worksheet" Target="/xl/worksheets/sheet2.xml" Id="R6c6c9bd64ab54f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F3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" hidden="0" customWidth="1"/>
    <x:col min="2" max="2" width="12" hidden="0" customWidth="1"/>
    <x:col min="3" max="3" width="28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2">
      <x:c r="A2" s="1" t="str">
        <x:v>Cycling versus Walking to Work by State, 2021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3" t="str">
        <x:v>Counts and rates for employed people who reported bicycle or walking as their one method of travel to work.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6" ht="34" customHeight="1">
      <x:c r="A6" s="15" t="str">
        <x:v>Year</x:v>
      </x:c>
      <x:c r="B6" s="16" t="str">
        <x:v>State Code</x:v>
      </x:c>
      <x:c r="C6" s="16" t="str">
        <x:v>State</x:v>
      </x:c>
      <x:c r="D6" s="16" t="str">
        <x:v>Bicycle Count</x:v>
      </x:c>
      <x:c r="E6" s="16" t="str">
        <x:v>Walked Only Count</x:v>
      </x:c>
      <x:c r="F6" s="16" t="str">
        <x:v>Difference</x:v>
      </x:c>
      <x:c r="G6" s="16" t="str">
        <x:v>Total Employed</x:v>
      </x:c>
      <x:c r="H6" s="16" t="str">
        <x:v>Bicycle Rate</x:v>
      </x:c>
      <x:c r="I6" s="16" t="str">
        <x:v>Walking Rate</x:v>
      </x:c>
      <x:c r="J6" s="16" t="str">
        <x:v>Lower Count</x:v>
      </x:c>
      <x:c r="K6" s="17" t="str">
        <x:v>Upper Count</x:v>
      </x:c>
    </x:row>
    <x:row r="7">
      <x:c r="A7" s="22" t="n">
        <x:v>2021</x:v>
      </x:c>
      <x:c r="B7" s="22" t="n">
        <x:v>1</x:v>
      </x:c>
      <x:c r="C7" s="20" t="str">
        <x:v>New South Wales</x:v>
      </x:c>
      <x:c r="D7" s="28" t="n">
        <x:v>14466</x:v>
      </x:c>
      <x:c r="E7" s="30" t="n">
        <x:v>92368</x:v>
      </x:c>
      <x:c r="F7" s="24" t="n">
        <x:f>E7-D7</x:f>
        <x:v>77902</x:v>
      </x:c>
      <x:c r="G7" s="24" t="n">
        <x:v>3684158</x:v>
      </x:c>
      <x:c r="H7" s="26" t="n">
        <x:f>D7/G7</x:f>
        <x:v>0.003926541695551602</x:v>
      </x:c>
      <x:c r="I7" s="26" t="n">
        <x:f>E7/G7</x:f>
        <x:v>0.025071671736119894</x:v>
      </x:c>
      <x:c r="J7" s="24" t="n">
        <x:f>MIN(D7,E7)</x:f>
        <x:v>14466</x:v>
      </x:c>
      <x:c r="K7" s="24" t="n">
        <x:f>MAX(D7,E7)</x:f>
        <x:v>92368</x:v>
      </x:c>
    </x:row>
    <x:row r="8">
      <x:c r="A8" s="22" t="n">
        <x:v>2021</x:v>
      </x:c>
      <x:c r="B8" s="22" t="n">
        <x:v>2</x:v>
      </x:c>
      <x:c r="C8" s="20" t="str">
        <x:v>Victoria</x:v>
      </x:c>
      <x:c r="D8" s="28" t="n">
        <x:v>22267</x:v>
      </x:c>
      <x:c r="E8" s="30" t="n">
        <x:v>72373</x:v>
      </x:c>
      <x:c r="F8" s="24" t="n">
        <x:f>E8-D8</x:f>
        <x:v>50106</x:v>
      </x:c>
      <x:c r="G8" s="24" t="n">
        <x:v>3162893</x:v>
      </x:c>
      <x:c r="H8" s="26" t="n">
        <x:f>D8/G8</x:f>
        <x:v>0.007040073755261401</x:v>
      </x:c>
      <x:c r="I8" s="26" t="n">
        <x:f>E8/G8</x:f>
        <x:v>0.02288189957738058</x:v>
      </x:c>
      <x:c r="J8" s="24" t="n">
        <x:f>MIN(D8,E8)</x:f>
        <x:v>22267</x:v>
      </x:c>
      <x:c r="K8" s="24" t="n">
        <x:f>MAX(D8,E8)</x:f>
        <x:v>72373</x:v>
      </x:c>
    </x:row>
    <x:row r="9">
      <x:c r="A9" s="22" t="n">
        <x:v>2021</x:v>
      </x:c>
      <x:c r="B9" s="22" t="n">
        <x:v>3</x:v>
      </x:c>
      <x:c r="C9" s="20" t="str">
        <x:v>Queensland</x:v>
      </x:c>
      <x:c r="D9" s="28" t="n">
        <x:v>17121</x:v>
      </x:c>
      <x:c r="E9" s="30" t="n">
        <x:v>63580</x:v>
      </x:c>
      <x:c r="F9" s="24" t="n">
        <x:f>E9-D9</x:f>
        <x:v>46459</x:v>
      </x:c>
      <x:c r="G9" s="24" t="n">
        <x:v>2444090</x:v>
      </x:c>
      <x:c r="H9" s="26" t="n">
        <x:f>D9/G9</x:f>
        <x:v>0.007005061188417775</x:v>
      </x:c>
      <x:c r="I9" s="26" t="n">
        <x:f>E9/G9</x:f>
        <x:v>0.026013771996939557</x:v>
      </x:c>
      <x:c r="J9" s="24" t="n">
        <x:f>MIN(D9,E9)</x:f>
        <x:v>17121</x:v>
      </x:c>
      <x:c r="K9" s="24" t="n">
        <x:f>MAX(D9,E9)</x:f>
        <x:v>63580</x:v>
      </x:c>
    </x:row>
    <x:row r="10">
      <x:c r="A10" s="22" t="n">
        <x:v>2021</x:v>
      </x:c>
      <x:c r="B10" s="22" t="n">
        <x:v>4</x:v>
      </x:c>
      <x:c r="C10" s="20" t="str">
        <x:v>South Australia</x:v>
      </x:c>
      <x:c r="D10" s="28" t="n">
        <x:v>7318</x:v>
      </x:c>
      <x:c r="E10" s="30" t="n">
        <x:v>20575</x:v>
      </x:c>
      <x:c r="F10" s="24" t="n">
        <x:f>E10-D10</x:f>
        <x:v>13257</x:v>
      </x:c>
      <x:c r="G10" s="24" t="n">
        <x:v>839414</x:v>
      </x:c>
      <x:c r="H10" s="26" t="n">
        <x:f>D10/G10</x:f>
        <x:v>0.008717986595410608</x:v>
      </x:c>
      <x:c r="I10" s="26" t="n">
        <x:f>E10/G10</x:f>
        <x:v>0.024511147062117145</x:v>
      </x:c>
      <x:c r="J10" s="24" t="n">
        <x:f>MIN(D10,E10)</x:f>
        <x:v>7318</x:v>
      </x:c>
      <x:c r="K10" s="24" t="n">
        <x:f>MAX(D10,E10)</x:f>
        <x:v>20575</x:v>
      </x:c>
    </x:row>
    <x:row r="11">
      <x:c r="A11" s="22" t="n">
        <x:v>2021</x:v>
      </x:c>
      <x:c r="B11" s="22" t="n">
        <x:v>5</x:v>
      </x:c>
      <x:c r="C11" s="20" t="str">
        <x:v>Western Australia</x:v>
      </x:c>
      <x:c r="D11" s="28" t="n">
        <x:v>8746</x:v>
      </x:c>
      <x:c r="E11" s="30" t="n">
        <x:v>28115</x:v>
      </x:c>
      <x:c r="F11" s="24" t="n">
        <x:f>E11-D11</x:f>
        <x:v>19369</x:v>
      </x:c>
      <x:c r="G11" s="24" t="n">
        <x:v>1306249</x:v>
      </x:c>
      <x:c r="H11" s="26" t="n">
        <x:f>D11/G11</x:f>
        <x:v>0.00669550751809188</x:v>
      </x:c>
      <x:c r="I11" s="26" t="n">
        <x:f>E11/G11</x:f>
        <x:v>0.02152346145336762</x:v>
      </x:c>
      <x:c r="J11" s="24" t="n">
        <x:f>MIN(D11,E11)</x:f>
        <x:v>8746</x:v>
      </x:c>
      <x:c r="K11" s="24" t="n">
        <x:f>MAX(D11,E11)</x:f>
        <x:v>28115</x:v>
      </x:c>
    </x:row>
    <x:row r="12">
      <x:c r="A12" s="22" t="n">
        <x:v>2021</x:v>
      </x:c>
      <x:c r="B12" s="22" t="n">
        <x:v>6</x:v>
      </x:c>
      <x:c r="C12" s="20" t="str">
        <x:v>Tasmania</x:v>
      </x:c>
      <x:c r="D12" s="28" t="n">
        <x:v>1776</x:v>
      </x:c>
      <x:c r="E12" s="30" t="n">
        <x:v>10785</x:v>
      </x:c>
      <x:c r="F12" s="24" t="n">
        <x:f>E12-D12</x:f>
        <x:v>9009</x:v>
      </x:c>
      <x:c r="G12" s="24" t="n">
        <x:v>254722</x:v>
      </x:c>
      <x:c r="H12" s="26" t="n">
        <x:f>D12/G12</x:f>
        <x:v>0.006972307064171921</x:v>
      </x:c>
      <x:c r="I12" s="26" t="n">
        <x:f>E12/G12</x:f>
        <x:v>0.04234027685084131</x:v>
      </x:c>
      <x:c r="J12" s="24" t="n">
        <x:f>MIN(D12,E12)</x:f>
        <x:v>1776</x:v>
      </x:c>
      <x:c r="K12" s="24" t="n">
        <x:f>MAX(D12,E12)</x:f>
        <x:v>10785</x:v>
      </x:c>
    </x:row>
    <x:row r="13">
      <x:c r="A13" s="22" t="n">
        <x:v>2021</x:v>
      </x:c>
      <x:c r="B13" s="22" t="n">
        <x:v>7</x:v>
      </x:c>
      <x:c r="C13" s="20" t="str">
        <x:v>Northern Territory</x:v>
      </x:c>
      <x:c r="D13" s="28" t="n">
        <x:v>2153</x:v>
      </x:c>
      <x:c r="E13" s="30" t="n">
        <x:v>8115</x:v>
      </x:c>
      <x:c r="F13" s="24" t="n">
        <x:f>E13-D13</x:f>
        <x:v>5962</x:v>
      </x:c>
      <x:c r="G13" s="24" t="n">
        <x:v>107035</x:v>
      </x:c>
      <x:c r="H13" s="26" t="n">
        <x:f>D13/G13</x:f>
        <x:v>0.020114915681786333</x:v>
      </x:c>
      <x:c r="I13" s="26" t="n">
        <x:f>E13/G13</x:f>
        <x:v>0.075816321763909</x:v>
      </x:c>
      <x:c r="J13" s="24" t="n">
        <x:f>MIN(D13,E13)</x:f>
        <x:v>2153</x:v>
      </x:c>
      <x:c r="K13" s="24" t="n">
        <x:f>MAX(D13,E13)</x:f>
        <x:v>8115</x:v>
      </x:c>
    </x:row>
    <x:row r="14">
      <x:c r="A14" s="23" t="n">
        <x:v>2021</x:v>
      </x:c>
      <x:c r="B14" s="23" t="n">
        <x:v>8</x:v>
      </x:c>
      <x:c r="C14" s="21" t="str">
        <x:v>Australian Capital Territory</x:v>
      </x:c>
      <x:c r="D14" s="29" t="n">
        <x:v>5220</x:v>
      </x:c>
      <x:c r="E14" s="31" t="n">
        <x:v>9988</x:v>
      </x:c>
      <x:c r="F14" s="25" t="n">
        <x:f>E14-D14</x:f>
        <x:v>4768</x:v>
      </x:c>
      <x:c r="G14" s="25" t="n">
        <x:v>248603</x:v>
      </x:c>
      <x:c r="H14" s="27" t="n">
        <x:f>D14/G14</x:f>
        <x:v>0.02099733309734798</x:v>
      </x:c>
      <x:c r="I14" s="27" t="n">
        <x:f>E14/G14</x:f>
        <x:v>0.040176506317301075</x:v>
      </x:c>
      <x:c r="J14" s="25" t="n">
        <x:f>MIN(D14,E14)</x:f>
        <x:v>5220</x:v>
      </x:c>
      <x:c r="K14" s="25" t="n">
        <x:f>MAX(D14,E14)</x:f>
        <x:v>9988</x:v>
      </x:c>
    </x:row>
    <x:row r="16" ht="42" customHeight="1">
      <x:c r="A16" s="34" t="str">
        <x:v>Recommended connected dot plot: State on the y-axis; Bicycle Count and Walked Only Count on the x-axis; connect the two dots for each state. Use rates instead when comparing relative participation across differently sized states.</x:v>
      </x:c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</x:row>
    <x:row r="18" ht="34" customHeight="1">
      <x:c r="A18" s="36" t="str">
        <x:v>Source: Australian Bureau of Statistics, 2021 Census General Community Profile, G62 Method of travel to work by sex, State/Territory DataPack. https://www.abs.gov.au/census/find-census-data/datapacks</x:v>
      </x:c>
      <x:c r="B18" s="36"/>
      <x:c r="C18" s="36"/>
      <x:c r="D18" s="36"/>
      <x:c r="E18" s="36"/>
      <x:c r="F18" s="36"/>
      <x:c r="G18" s="36"/>
      <x:c r="H18" s="36"/>
      <x:c r="I18" s="36"/>
      <x:c r="J18" s="36"/>
      <x:c r="K18" s="36"/>
    </x:row>
    <x:row r="19" ht="34" customHeight="1">
      <x:c r="A19" s="36" t="str">
        <x:v>Fields: One_method_Bicycle_P, One_method_Walked_only_P and Tot_P. Other Territories (code 9) is excluded. The 2021 Census was affected by COVID-19 travel restrictions.</x:v>
      </x:c>
      <x:c r="B19" s="36"/>
      <x:c r="C19" s="36"/>
      <x:c r="D19" s="36"/>
      <x:c r="E19" s="36"/>
      <x:c r="F19" s="36"/>
      <x:c r="G19" s="36"/>
      <x:c r="H19" s="36"/>
      <x:c r="I19" s="36"/>
      <x:c r="J19" s="36"/>
      <x:c r="K19" s="36"/>
    </x:row>
  </x:sheetData>
  <x:mergeCells>
    <x:mergeCell ref="A2:K2"/>
    <x:mergeCell ref="A4:K4"/>
    <x:mergeCell ref="A16:K16"/>
    <x:mergeCell ref="A18:K18"/>
    <x:mergeCell ref="A19:K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12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</x:cols>
  <x:sheetData>
    <x:row r="2">
      <x:c r="A2" s="1" t="str">
        <x:v>Vega-Lite Long-Format Data</x:v>
      </x:c>
      <x:c r="B2" s="1"/>
      <x:c r="C2" s="1"/>
      <x:c r="D2" s="1"/>
      <x:c r="E2" s="1"/>
      <x:c r="F2" s="1"/>
    </x:row>
    <x:row r="3">
      <x:c r="A3" s="2"/>
      <x:c r="B3" s="2"/>
      <x:c r="C3" s="2"/>
      <x:c r="D3" s="2"/>
      <x:c r="E3" s="2"/>
      <x:c r="F3" s="2"/>
    </x:row>
    <x:row r="5">
      <x:c r="A5" s="40" t="str">
        <x:v>Year</x:v>
      </x:c>
      <x:c r="B5" s="41" t="str">
        <x:v>State Code</x:v>
      </x:c>
      <x:c r="C5" s="41" t="str">
        <x:v>State</x:v>
      </x:c>
      <x:c r="D5" s="41" t="str">
        <x:v>Mode</x:v>
      </x:c>
      <x:c r="E5" s="41" t="str">
        <x:v>Count</x:v>
      </x:c>
      <x:c r="F5" s="42" t="str">
        <x:v>Rate</x:v>
      </x:c>
    </x:row>
    <x:row r="6">
      <x:c r="A6" s="22" t="n">
        <x:v>2021</x:v>
      </x:c>
      <x:c r="B6" s="22" t="n">
        <x:v>1</x:v>
      </x:c>
      <x:c r="C6" s="20" t="str">
        <x:v>New South Wales</x:v>
      </x:c>
      <x:c r="D6" s="43" t="str">
        <x:v>Bicycle</x:v>
      </x:c>
      <x:c r="E6" s="28" t="n">
        <x:v>14466</x:v>
      </x:c>
      <x:c r="F6" s="44" t="n">
        <x:v>0.003926541695551602</x:v>
      </x:c>
    </x:row>
    <x:row r="7">
      <x:c r="A7" s="22" t="n">
        <x:v>2021</x:v>
      </x:c>
      <x:c r="B7" s="22" t="n">
        <x:v>1</x:v>
      </x:c>
      <x:c r="C7" s="20" t="str">
        <x:v>New South Wales</x:v>
      </x:c>
      <x:c r="D7" s="45" t="str">
        <x:v>Walked only</x:v>
      </x:c>
      <x:c r="E7" s="30" t="n">
        <x:v>92368</x:v>
      </x:c>
      <x:c r="F7" s="46" t="n">
        <x:v>0.025071671736119894</x:v>
      </x:c>
    </x:row>
    <x:row r="8">
      <x:c r="A8" s="22" t="n">
        <x:v>2021</x:v>
      </x:c>
      <x:c r="B8" s="22" t="n">
        <x:v>2</x:v>
      </x:c>
      <x:c r="C8" s="20" t="str">
        <x:v>Victoria</x:v>
      </x:c>
      <x:c r="D8" s="43" t="str">
        <x:v>Bicycle</x:v>
      </x:c>
      <x:c r="E8" s="28" t="n">
        <x:v>22267</x:v>
      </x:c>
      <x:c r="F8" s="44" t="n">
        <x:v>0.007040073755261401</x:v>
      </x:c>
    </x:row>
    <x:row r="9">
      <x:c r="A9" s="22" t="n">
        <x:v>2021</x:v>
      </x:c>
      <x:c r="B9" s="22" t="n">
        <x:v>2</x:v>
      </x:c>
      <x:c r="C9" s="20" t="str">
        <x:v>Victoria</x:v>
      </x:c>
      <x:c r="D9" s="45" t="str">
        <x:v>Walked only</x:v>
      </x:c>
      <x:c r="E9" s="30" t="n">
        <x:v>72373</x:v>
      </x:c>
      <x:c r="F9" s="46" t="n">
        <x:v>0.02288189957738058</x:v>
      </x:c>
    </x:row>
    <x:row r="10">
      <x:c r="A10" s="22" t="n">
        <x:v>2021</x:v>
      </x:c>
      <x:c r="B10" s="22" t="n">
        <x:v>3</x:v>
      </x:c>
      <x:c r="C10" s="20" t="str">
        <x:v>Queensland</x:v>
      </x:c>
      <x:c r="D10" s="43" t="str">
        <x:v>Bicycle</x:v>
      </x:c>
      <x:c r="E10" s="28" t="n">
        <x:v>17121</x:v>
      </x:c>
      <x:c r="F10" s="44" t="n">
        <x:v>0.007005061188417775</x:v>
      </x:c>
    </x:row>
    <x:row r="11">
      <x:c r="A11" s="22" t="n">
        <x:v>2021</x:v>
      </x:c>
      <x:c r="B11" s="22" t="n">
        <x:v>3</x:v>
      </x:c>
      <x:c r="C11" s="20" t="str">
        <x:v>Queensland</x:v>
      </x:c>
      <x:c r="D11" s="45" t="str">
        <x:v>Walked only</x:v>
      </x:c>
      <x:c r="E11" s="30" t="n">
        <x:v>63580</x:v>
      </x:c>
      <x:c r="F11" s="46" t="n">
        <x:v>0.026013771996939557</x:v>
      </x:c>
    </x:row>
    <x:row r="12">
      <x:c r="A12" s="22" t="n">
        <x:v>2021</x:v>
      </x:c>
      <x:c r="B12" s="22" t="n">
        <x:v>4</x:v>
      </x:c>
      <x:c r="C12" s="20" t="str">
        <x:v>South Australia</x:v>
      </x:c>
      <x:c r="D12" s="43" t="str">
        <x:v>Bicycle</x:v>
      </x:c>
      <x:c r="E12" s="28" t="n">
        <x:v>7318</x:v>
      </x:c>
      <x:c r="F12" s="44" t="n">
        <x:v>0.008717986595410608</x:v>
      </x:c>
    </x:row>
    <x:row r="13">
      <x:c r="A13" s="22" t="n">
        <x:v>2021</x:v>
      </x:c>
      <x:c r="B13" s="22" t="n">
        <x:v>4</x:v>
      </x:c>
      <x:c r="C13" s="20" t="str">
        <x:v>South Australia</x:v>
      </x:c>
      <x:c r="D13" s="45" t="str">
        <x:v>Walked only</x:v>
      </x:c>
      <x:c r="E13" s="30" t="n">
        <x:v>20575</x:v>
      </x:c>
      <x:c r="F13" s="46" t="n">
        <x:v>0.024511147062117145</x:v>
      </x:c>
    </x:row>
    <x:row r="14">
      <x:c r="A14" s="22" t="n">
        <x:v>2021</x:v>
      </x:c>
      <x:c r="B14" s="22" t="n">
        <x:v>5</x:v>
      </x:c>
      <x:c r="C14" s="20" t="str">
        <x:v>Western Australia</x:v>
      </x:c>
      <x:c r="D14" s="43" t="str">
        <x:v>Bicycle</x:v>
      </x:c>
      <x:c r="E14" s="28" t="n">
        <x:v>8746</x:v>
      </x:c>
      <x:c r="F14" s="44" t="n">
        <x:v>0.00669550751809188</x:v>
      </x:c>
    </x:row>
    <x:row r="15">
      <x:c r="A15" s="22" t="n">
        <x:v>2021</x:v>
      </x:c>
      <x:c r="B15" s="22" t="n">
        <x:v>5</x:v>
      </x:c>
      <x:c r="C15" s="20" t="str">
        <x:v>Western Australia</x:v>
      </x:c>
      <x:c r="D15" s="45" t="str">
        <x:v>Walked only</x:v>
      </x:c>
      <x:c r="E15" s="30" t="n">
        <x:v>28115</x:v>
      </x:c>
      <x:c r="F15" s="46" t="n">
        <x:v>0.02152346145336762</x:v>
      </x:c>
    </x:row>
    <x:row r="16">
      <x:c r="A16" s="22" t="n">
        <x:v>2021</x:v>
      </x:c>
      <x:c r="B16" s="22" t="n">
        <x:v>6</x:v>
      </x:c>
      <x:c r="C16" s="20" t="str">
        <x:v>Tasmania</x:v>
      </x:c>
      <x:c r="D16" s="43" t="str">
        <x:v>Bicycle</x:v>
      </x:c>
      <x:c r="E16" s="28" t="n">
        <x:v>1776</x:v>
      </x:c>
      <x:c r="F16" s="44" t="n">
        <x:v>0.006972307064171921</x:v>
      </x:c>
    </x:row>
    <x:row r="17">
      <x:c r="A17" s="22" t="n">
        <x:v>2021</x:v>
      </x:c>
      <x:c r="B17" s="22" t="n">
        <x:v>6</x:v>
      </x:c>
      <x:c r="C17" s="20" t="str">
        <x:v>Tasmania</x:v>
      </x:c>
      <x:c r="D17" s="45" t="str">
        <x:v>Walked only</x:v>
      </x:c>
      <x:c r="E17" s="30" t="n">
        <x:v>10785</x:v>
      </x:c>
      <x:c r="F17" s="46" t="n">
        <x:v>0.04234027685084131</x:v>
      </x:c>
    </x:row>
    <x:row r="18">
      <x:c r="A18" s="22" t="n">
        <x:v>2021</x:v>
      </x:c>
      <x:c r="B18" s="22" t="n">
        <x:v>7</x:v>
      </x:c>
      <x:c r="C18" s="20" t="str">
        <x:v>Northern Territory</x:v>
      </x:c>
      <x:c r="D18" s="43" t="str">
        <x:v>Bicycle</x:v>
      </x:c>
      <x:c r="E18" s="28" t="n">
        <x:v>2153</x:v>
      </x:c>
      <x:c r="F18" s="44" t="n">
        <x:v>0.020114915681786333</x:v>
      </x:c>
    </x:row>
    <x:row r="19">
      <x:c r="A19" s="22" t="n">
        <x:v>2021</x:v>
      </x:c>
      <x:c r="B19" s="22" t="n">
        <x:v>7</x:v>
      </x:c>
      <x:c r="C19" s="20" t="str">
        <x:v>Northern Territory</x:v>
      </x:c>
      <x:c r="D19" s="45" t="str">
        <x:v>Walked only</x:v>
      </x:c>
      <x:c r="E19" s="30" t="n">
        <x:v>8115</x:v>
      </x:c>
      <x:c r="F19" s="46" t="n">
        <x:v>0.075816321763909</x:v>
      </x:c>
    </x:row>
    <x:row r="20">
      <x:c r="A20" s="22" t="n">
        <x:v>2021</x:v>
      </x:c>
      <x:c r="B20" s="22" t="n">
        <x:v>8</x:v>
      </x:c>
      <x:c r="C20" s="20" t="str">
        <x:v>Australian Capital Territory</x:v>
      </x:c>
      <x:c r="D20" s="43" t="str">
        <x:v>Bicycle</x:v>
      </x:c>
      <x:c r="E20" s="28" t="n">
        <x:v>5220</x:v>
      </x:c>
      <x:c r="F20" s="44" t="n">
        <x:v>0.02099733309734798</x:v>
      </x:c>
    </x:row>
    <x:row r="21">
      <x:c r="A21" s="23" t="n">
        <x:v>2021</x:v>
      </x:c>
      <x:c r="B21" s="23" t="n">
        <x:v>8</x:v>
      </x:c>
      <x:c r="C21" s="21" t="str">
        <x:v>Australian Capital Territory</x:v>
      </x:c>
      <x:c r="D21" s="47" t="str">
        <x:v>Walked only</x:v>
      </x:c>
      <x:c r="E21" s="31" t="n">
        <x:v>9988</x:v>
      </x:c>
      <x:c r="F21" s="48" t="n">
        <x:v>0.040176506317301075</x:v>
      </x:c>
    </x:row>
    <x:row r="23" ht="38" customHeight="1">
      <x:c r="A23" s="34" t="str">
        <x:v>For Vega-Lite: y = State, x = Count (or Rate), colour = Mode, detail = State. Add a rule mark connecting the minimum and maximum values for each state.</x:v>
      </x:c>
      <x:c r="B23" s="34"/>
      <x:c r="C23" s="34"/>
      <x:c r="D23" s="34"/>
      <x:c r="E23" s="34"/>
      <x:c r="F23" s="34"/>
    </x:row>
  </x:sheetData>
  <x:mergeCells>
    <x:mergeCell ref="A2:F2"/>
    <x:mergeCell ref="A23:F23"/>
  </x:mergeCells>
  <x:pageMargins left="0.7" right="0.7" top="0.75" bottom="0.75" header="0.3" footer="0.3"/>
</x:worksheet>
</file>