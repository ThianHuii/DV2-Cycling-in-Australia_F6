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5947b8637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mp Chart Data" sheetId="1" r:id="Rae1685467ada43b0"/>
    <x:sheet xmlns:r="http://schemas.openxmlformats.org/officeDocument/2006/relationships" name="Source Notes" sheetId="2" r:id="R5ad48f62726e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%"/>
    <x:numFmt numFmtId="202" formatCode="0"/>
  </x:numFmts>
  <x:fonts count="8">
    <x:font>
      <x:sz val="11"/>
      <x:name val="Carlito"/>
    </x:font>
    <x:font>
      <x:b/>
      <x:sz val="15"/>
      <x:color rgb="FF17463A"/>
      <x:name val="Arial"/>
    </x:font>
    <x:font>
      <x:i/>
      <x:sz val="10"/>
      <x:color rgb="FF5F6F69"/>
      <x:name val="Arial"/>
    </x:font>
    <x:font>
      <x:sz val="10"/>
      <x:color rgb="FF1F2D28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463A"/>
      <x:name val="Arial"/>
    </x:font>
    <x:font>
      <x:i/>
      <x:sz val="9"/>
      <x:color rgb="FF5F6F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63A"/>
      </x:patternFill>
    </x:fill>
    <x:fill>
      <x:patternFill patternType="solid">
        <x:fgColor rgb="FF2E7D63"/>
      </x:patternFill>
    </x:fill>
    <x:fill>
      <x:patternFill patternType="solid">
        <x:fgColor rgb="FFE8F3EE"/>
      </x:patternFill>
    </x:fill>
  </x:fills>
  <x:borders count="5">
    <x:border/>
    <x:border>
      <x:bottom style="thin">
        <x:color rgb="FFA9B8B1"/>
      </x:bottom>
    </x:border>
    <x:border>
      <x:bottom style="thin">
        <x:color rgb="FFD5E2DC"/>
      </x:bottom>
    </x:border>
    <x:border>
      <x:top style="thin">
        <x:color rgb="FFD5E2DC"/>
      </x:top>
      <x:bottom style="thin">
        <x:color rgb="FFD5E2DC"/>
      </x:bottom>
    </x:border>
    <x:border>
      <x:top style="thin">
        <x:color rgb="FFD5E2DC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3" borderId="2" xfId="0" applyNumberFormat="1" applyFont="1" applyFill="1" applyBorder="1"/>
    <x:xf numFmtId="0" fontId="6" fillId="4" borderId="3" xfId="0" applyNumberFormat="1" applyFont="1" applyFill="1" applyBorder="1"/>
    <x:xf numFmtId="0" fontId="3" fillId="0" borderId="3" xfId="0" applyNumberFormat="1" applyFont="1" applyFill="1" applyBorder="1"/>
    <x:xf numFmtId="0" fontId="6" fillId="4" borderId="4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90d0318184267" /><Relationship Type="http://schemas.openxmlformats.org/officeDocument/2006/relationships/theme" Target="/xl/theme/theme1.xml" Id="Rb987fe1f28484b44" /><Relationship Type="http://schemas.openxmlformats.org/officeDocument/2006/relationships/sharedStrings" Target="/xl/sharedStrings.xml" Id="R7e384d53b3ca45ec" /><Relationship Type="http://schemas.openxmlformats.org/officeDocument/2006/relationships/worksheet" Target="/xl/worksheets/sheet1.xml" Id="Rae1685467ada43b0" /><Relationship Type="http://schemas.openxmlformats.org/officeDocument/2006/relationships/worksheet" Target="/xl/worksheets/sheet2.xml" Id="R5ad48f62726e436d" /></Relationships>
</file>

<file path=xl/tables/table1.xml><?xml version="1.0" encoding="utf-8"?>
<x:table xmlns:x="http://schemas.openxmlformats.org/spreadsheetml/2006/main" id="1" name="BumpChartTable" displayName="BumpChartTable" ref="A5:G29" headerRowCount="1" totalsRowCount="0" totalsRowShown="0">
  <x:tableColumns count="7">
    <x:tableColumn id="1" name="Year"/>
    <x:tableColumn id="2" name="State Code"/>
    <x:tableColumn id="3" name="State"/>
    <x:tableColumn id="4" name="Bicycle Commuters"/>
    <x:tableColumn id="5" name="Total Employed"/>
    <x:tableColumn id="6" name="Bicycle Rate"/>
    <x:tableColumn id="7" name="Rank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5:G8" headerRowCount="1" totalsRowCount="0" totalsRowShown="0">
  <x:tableColumns count="7">
    <x:tableColumn id="1" name="Year"/>
    <x:tableColumn id="2" name="Geography key"/>
    <x:tableColumn id="3" name="Bicycle source"/>
    <x:tableColumn id="4" name="Bicycle field"/>
    <x:tableColumn id="5" name="Total source"/>
    <x:tableColumn id="6" name="Total field"/>
    <x:tableColumn id="7" name="Profi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b46054dfc941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aca3ace6464616" /></Relationships>
</file>

<file path=xl/worksheets/sheet1.xml><?xml version="1.0" encoding="utf-8"?>
<x:worksheet xmlns:x="http://schemas.openxmlformats.org/spreadsheetml/2006/main">
  <x:sheetPr>
    <x:tabColor rgb="FF1746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9" hidden="0" customWidth="1"/>
    <x:col min="5" max="5" width="19" hidden="0" customWidth="1"/>
    <x:col min="6" max="6" width="16" hidden="0" customWidth="1"/>
    <x:col min="7" max="7" width="10" hidden="0" customWidth="1"/>
  </x:cols>
  <x:sheetData>
    <x:row r="1">
      <x:c r="A1" s="14"/>
      <x:c r="B1" s="14"/>
      <x:c r="C1" s="14"/>
      <x:c r="D1" s="14"/>
      <x:c r="E1" s="14"/>
      <x:c r="F1" s="14"/>
      <x:c r="G1" s="14"/>
    </x:row>
    <x:row r="2">
      <x:c r="A2" s="1" t="str">
        <x:v>Australian Bicycle-Commuting State Rankings, 2011–2021</x:v>
      </x:c>
    </x:row>
    <x:row r="3">
      <x:c r="A3" s="2" t="str">
        <x:v>Ready-to-use long-format data for a bump chart. Rank 1 represents the highest bicycle-only commuting rate.</x:v>
      </x:c>
    </x:row>
    <x:row r="4">
      <x:c r="A4" s="3"/>
      <x:c r="B4" s="3"/>
      <x:c r="C4" s="3"/>
      <x:c r="D4" s="3"/>
      <x:c r="E4" s="3"/>
      <x:c r="F4" s="3"/>
      <x:c r="G4" s="3"/>
    </x:row>
    <x:row r="5" ht="20" customHeight="1">
      <x:c r="A5" s="8" t="str">
        <x:v>Year</x:v>
      </x:c>
      <x:c r="B5" s="8" t="str">
        <x:v>State Code</x:v>
      </x:c>
      <x:c r="C5" s="8" t="str">
        <x:v>State</x:v>
      </x:c>
      <x:c r="D5" s="8" t="str">
        <x:v>Bicycle Commuters</x:v>
      </x:c>
      <x:c r="E5" s="8" t="str">
        <x:v>Total Employed</x:v>
      </x:c>
      <x:c r="F5" s="8" t="str">
        <x:v>Bicycle Rate</x:v>
      </x:c>
      <x:c r="G5" s="8" t="str">
        <x:v>Rank</x:v>
      </x:c>
    </x:row>
    <x:row r="6" ht="20" customHeight="1">
      <x:c r="A6" s="9" t="n">
        <x:v>2011</x:v>
      </x:c>
      <x:c r="B6" s="9" t="n">
        <x:v>1</x:v>
      </x:c>
      <x:c r="C6" s="4" t="str">
        <x:v>New South Wales</x:v>
      </x:c>
      <x:c r="D6" s="10" t="n">
        <x:v>22817</x:v>
      </x:c>
      <x:c r="E6" s="10" t="n">
        <x:v>3033526</x:v>
      </x:c>
      <x:c r="F6" s="11" t="n">
        <x:f>D6/E6</x:f>
        <x:v>0.007521610165859795</x:v>
      </x:c>
      <x:c r="G6" s="13" t="n">
        <x:f>RANK(F6,$F$6:$F$13,0)</x:f>
        <x:v>7</x:v>
      </x:c>
    </x:row>
    <x:row r="7" ht="20" customHeight="1">
      <x:c r="A7" s="9" t="n">
        <x:v>2011</x:v>
      </x:c>
      <x:c r="B7" s="9" t="n">
        <x:v>2</x:v>
      </x:c>
      <x:c r="C7" s="4" t="str">
        <x:v>Victoria</x:v>
      </x:c>
      <x:c r="D7" s="10" t="n">
        <x:v>30368</x:v>
      </x:c>
      <x:c r="E7" s="10" t="n">
        <x:v>2451896</x:v>
      </x:c>
      <x:c r="F7" s="11" t="n">
        <x:f>D7/E7</x:f>
        <x:v>0.012385517167122911</x:v>
      </x:c>
      <x:c r="G7" s="13" t="n">
        <x:f>RANK(F7,$F$6:$F$13,0)</x:f>
        <x:v>3</x:v>
      </x:c>
    </x:row>
    <x:row r="8" ht="20" customHeight="1">
      <x:c r="A8" s="9" t="n">
        <x:v>2011</x:v>
      </x:c>
      <x:c r="B8" s="9" t="n">
        <x:v>3</x:v>
      </x:c>
      <x:c r="C8" s="4" t="str">
        <x:v>Queensland</x:v>
      </x:c>
      <x:c r="D8" s="10" t="n">
        <x:v>21197</x:v>
      </x:c>
      <x:c r="E8" s="10" t="n">
        <x:v>1991750</x:v>
      </x:c>
      <x:c r="F8" s="11" t="n">
        <x:f>D8/E8</x:f>
        <x:v>0.010642399899585792</x:v>
      </x:c>
      <x:c r="G8" s="13" t="n">
        <x:f>RANK(F8,$F$6:$F$13,0)</x:f>
        <x:v>5</x:v>
      </x:c>
    </x:row>
    <x:row r="9" ht="20" customHeight="1">
      <x:c r="A9" s="9" t="n">
        <x:v>2011</x:v>
      </x:c>
      <x:c r="B9" s="9" t="n">
        <x:v>4</x:v>
      </x:c>
      <x:c r="C9" s="4" t="str">
        <x:v>South Australia</x:v>
      </x:c>
      <x:c r="D9" s="10" t="n">
        <x:v>7348</x:v>
      </x:c>
      <x:c r="E9" s="10" t="n">
        <x:v>719221</x:v>
      </x:c>
      <x:c r="F9" s="11" t="n">
        <x:f>D9/E9</x:f>
        <x:v>0.010216609359292902</x:v>
      </x:c>
      <x:c r="G9" s="13" t="n">
        <x:f>RANK(F9,$F$6:$F$13,0)</x:f>
        <x:v>6</x:v>
      </x:c>
    </x:row>
    <x:row r="10" ht="20" customHeight="1">
      <x:c r="A10" s="9" t="n">
        <x:v>2011</x:v>
      </x:c>
      <x:c r="B10" s="9" t="n">
        <x:v>5</x:v>
      </x:c>
      <x:c r="C10" s="4" t="str">
        <x:v>Western Australia</x:v>
      </x:c>
      <x:c r="D10" s="10" t="n">
        <x:v>11634</x:v>
      </x:c>
      <x:c r="E10" s="10" t="n">
        <x:v>1084381</x:v>
      </x:c>
      <x:c r="F10" s="11" t="n">
        <x:f>D10/E10</x:f>
        <x:v>0.010728701443496335</x:v>
      </x:c>
      <x:c r="G10" s="13" t="n">
        <x:f>RANK(F10,$F$6:$F$13,0)</x:f>
        <x:v>4</x:v>
      </x:c>
    </x:row>
    <x:row r="11" ht="20" customHeight="1">
      <x:c r="A11" s="9" t="n">
        <x:v>2011</x:v>
      </x:c>
      <x:c r="B11" s="9" t="n">
        <x:v>6</x:v>
      </x:c>
      <x:c r="C11" s="4" t="str">
        <x:v>Tasmania</x:v>
      </x:c>
      <x:c r="D11" s="10" t="n">
        <x:v>1340</x:v>
      </x:c>
      <x:c r="E11" s="10" t="n">
        <x:v>211549</x:v>
      </x:c>
      <x:c r="F11" s="11" t="n">
        <x:f>D11/E11</x:f>
        <x:v>0.006334229894728881</x:v>
      </x:c>
      <x:c r="G11" s="13" t="n">
        <x:f>RANK(F11,$F$6:$F$13,0)</x:f>
        <x:v>8</x:v>
      </x:c>
    </x:row>
    <x:row r="12" ht="20" customHeight="1">
      <x:c r="A12" s="9" t="n">
        <x:v>2011</x:v>
      </x:c>
      <x:c r="B12" s="9" t="n">
        <x:v>7</x:v>
      </x:c>
      <x:c r="C12" s="4" t="str">
        <x:v>Northern Territory</x:v>
      </x:c>
      <x:c r="D12" s="10" t="n">
        <x:v>2792</x:v>
      </x:c>
      <x:c r="E12" s="10" t="n">
        <x:v>99481</x:v>
      </x:c>
      <x:c r="F12" s="11" t="n">
        <x:f>D12/E12</x:f>
        <x:v>0.02806566077944532</x:v>
      </x:c>
      <x:c r="G12" s="13" t="n">
        <x:f>RANK(F12,$F$6:$F$13,0)</x:f>
        <x:v>1</x:v>
      </x:c>
    </x:row>
    <x:row r="13" ht="20" customHeight="1">
      <x:c r="A13" s="9" t="n">
        <x:v>2011</x:v>
      </x:c>
      <x:c r="B13" s="9" t="n">
        <x:v>8</x:v>
      </x:c>
      <x:c r="C13" s="4" t="str">
        <x:v>Australian Capital Territory</x:v>
      </x:c>
      <x:c r="D13" s="10" t="n">
        <x:v>4762</x:v>
      </x:c>
      <x:c r="E13" s="10" t="n">
        <x:v>214091</x:v>
      </x:c>
      <x:c r="F13" s="11" t="n">
        <x:f>D13/E13</x:f>
        <x:v>0.0222428780285019</x:v>
      </x:c>
      <x:c r="G13" s="13" t="n">
        <x:f>RANK(F13,$F$6:$F$13,0)</x:f>
        <x:v>2</x:v>
      </x:c>
    </x:row>
    <x:row r="14" ht="20" customHeight="1">
      <x:c r="A14" s="9" t="n">
        <x:v>2016</x:v>
      </x:c>
      <x:c r="B14" s="9" t="n">
        <x:v>1</x:v>
      </x:c>
      <x:c r="C14" s="4" t="str">
        <x:v>New South Wales</x:v>
      </x:c>
      <x:c r="D14" s="10" t="n">
        <x:v>23204</x:v>
      </x:c>
      <x:c r="E14" s="10" t="n">
        <x:v>3358175</x:v>
      </x:c>
      <x:c r="F14" s="11" t="n">
        <x:f>D14/E14</x:f>
        <x:v>0.006909705420354806</x:v>
      </x:c>
      <x:c r="G14" s="13" t="n">
        <x:f>RANK(F14,$F$14:$F$21,0)</x:f>
        <x:v>8</x:v>
      </x:c>
    </x:row>
    <x:row r="15" ht="20" customHeight="1">
      <x:c r="A15" s="9" t="n">
        <x:v>2016</x:v>
      </x:c>
      <x:c r="B15" s="9" t="n">
        <x:v>2</x:v>
      </x:c>
      <x:c r="C15" s="4" t="str">
        <x:v>Victoria</x:v>
      </x:c>
      <x:c r="D15" s="10" t="n">
        <x:v>33868</x:v>
      </x:c>
      <x:c r="E15" s="10" t="n">
        <x:v>2730340</x:v>
      </x:c>
      <x:c r="F15" s="11" t="n">
        <x:f>D15/E15</x:f>
        <x:v>0.0124043159459994</x:v>
      </x:c>
      <x:c r="G15" s="13" t="n">
        <x:f>RANK(F15,$F$14:$F$21,0)</x:f>
        <x:v>3</x:v>
      </x:c>
    </x:row>
    <x:row r="16" ht="20" customHeight="1">
      <x:c r="A16" s="9" t="n">
        <x:v>2016</x:v>
      </x:c>
      <x:c r="B16" s="9" t="n">
        <x:v>3</x:v>
      </x:c>
      <x:c r="C16" s="4" t="str">
        <x:v>Queensland</x:v>
      </x:c>
      <x:c r="D16" s="10" t="n">
        <x:v>21659</x:v>
      </x:c>
      <x:c r="E16" s="10" t="n">
        <x:v>2130869</x:v>
      </x:c>
      <x:c r="F16" s="11" t="n">
        <x:f>D16/E16</x:f>
        <x:v>0.010164397717550915</x:v>
      </x:c>
      <x:c r="G16" s="13" t="n">
        <x:f>RANK(F16,$F$14:$F$21,0)</x:f>
        <x:v>4</x:v>
      </x:c>
    </x:row>
    <x:row r="17" ht="20" customHeight="1">
      <x:c r="A17" s="9" t="n">
        <x:v>2016</x:v>
      </x:c>
      <x:c r="B17" s="9" t="n">
        <x:v>4</x:v>
      </x:c>
      <x:c r="C17" s="4" t="str">
        <x:v>South Australia</x:v>
      </x:c>
      <x:c r="D17" s="10" t="n">
        <x:v>7435</x:v>
      </x:c>
      <x:c r="E17" s="10" t="n">
        <x:v>742822</x:v>
      </x:c>
      <x:c r="F17" s="11" t="n">
        <x:f>D17/E17</x:f>
        <x:v>0.01000912735487102</x:v>
      </x:c>
      <x:c r="G17" s="13" t="n">
        <x:f>RANK(F17,$F$14:$F$21,0)</x:f>
        <x:v>6</x:v>
      </x:c>
    </x:row>
    <x:row r="18" ht="20" customHeight="1">
      <x:c r="A18" s="9" t="n">
        <x:v>2016</x:v>
      </x:c>
      <x:c r="B18" s="9" t="n">
        <x:v>5</x:v>
      </x:c>
      <x:c r="C18" s="4" t="str">
        <x:v>Western Australia</x:v>
      </x:c>
      <x:c r="D18" s="10" t="n">
        <x:v>11774</x:v>
      </x:c>
      <x:c r="E18" s="10" t="n">
        <x:v>1166246</x:v>
      </x:c>
      <x:c r="F18" s="11" t="n">
        <x:f>D18/E18</x:f>
        <x:v>0.010095640199409044</x:v>
      </x:c>
      <x:c r="G18" s="13" t="n">
        <x:f>RANK(F18,$F$14:$F$21,0)</x:f>
        <x:v>5</x:v>
      </x:c>
    </x:row>
    <x:row r="19" ht="20" customHeight="1">
      <x:c r="A19" s="9" t="n">
        <x:v>2016</x:v>
      </x:c>
      <x:c r="B19" s="9" t="n">
        <x:v>6</x:v>
      </x:c>
      <x:c r="C19" s="4" t="str">
        <x:v>Tasmania</x:v>
      </x:c>
      <x:c r="D19" s="10" t="n">
        <x:v>1629</x:v>
      </x:c>
      <x:c r="E19" s="10" t="n">
        <x:v>215363</x:v>
      </x:c>
      <x:c r="F19" s="11" t="n">
        <x:f>D19/E19</x:f>
        <x:v>0.007563973384471799</x:v>
      </x:c>
      <x:c r="G19" s="13" t="n">
        <x:f>RANK(F19,$F$14:$F$21,0)</x:f>
        <x:v>7</x:v>
      </x:c>
    </x:row>
    <x:row r="20" ht="20" customHeight="1">
      <x:c r="A20" s="9" t="n">
        <x:v>2016</x:v>
      </x:c>
      <x:c r="B20" s="9" t="n">
        <x:v>7</x:v>
      </x:c>
      <x:c r="C20" s="4" t="str">
        <x:v>Northern Territory</x:v>
      </x:c>
      <x:c r="D20" s="10" t="n">
        <x:v>2634</x:v>
      </x:c>
      <x:c r="E20" s="10" t="n">
        <x:v>109756</x:v>
      </x:c>
      <x:c r="F20" s="11" t="n">
        <x:f>D20/E20</x:f>
        <x:v>0.023998687998833777</x:v>
      </x:c>
      <x:c r="G20" s="13" t="n">
        <x:f>RANK(F20,$F$14:$F$21,0)</x:f>
        <x:v>2</x:v>
      </x:c>
    </x:row>
    <x:row r="21" ht="20" customHeight="1">
      <x:c r="A21" s="9" t="n">
        <x:v>2016</x:v>
      </x:c>
      <x:c r="B21" s="9" t="n">
        <x:v>8</x:v>
      </x:c>
      <x:c r="C21" s="4" t="str">
        <x:v>Australian Capital Territory</x:v>
      </x:c>
      <x:c r="D21" s="10" t="n">
        <x:v>5532</x:v>
      </x:c>
      <x:c r="E21" s="10" t="n">
        <x:v>227468</x:v>
      </x:c>
      <x:c r="F21" s="11" t="n">
        <x:f>D21/E21</x:f>
        <x:v>0.024319904338192627</x:v>
      </x:c>
      <x:c r="G21" s="13" t="n">
        <x:f>RANK(F21,$F$14:$F$21,0)</x:f>
        <x:v>1</x:v>
      </x:c>
    </x:row>
    <x:row r="22" ht="20" customHeight="1">
      <x:c r="A22" s="9" t="n">
        <x:v>2021</x:v>
      </x:c>
      <x:c r="B22" s="9" t="n">
        <x:v>1</x:v>
      </x:c>
      <x:c r="C22" s="4" t="str">
        <x:v>New South Wales</x:v>
      </x:c>
      <x:c r="D22" s="10" t="n">
        <x:v>14409</x:v>
      </x:c>
      <x:c r="E22" s="10" t="n">
        <x:v>3672240</x:v>
      </x:c>
      <x:c r="F22" s="11" t="n">
        <x:f>D22/E22</x:f>
        <x:v>0.003923763152735116</x:v>
      </x:c>
      <x:c r="G22" s="13" t="n">
        <x:f>RANK(F22,$F$22:$F$29,0)</x:f>
        <x:v>8</x:v>
      </x:c>
    </x:row>
    <x:row r="23" ht="20" customHeight="1">
      <x:c r="A23" s="9" t="n">
        <x:v>2021</x:v>
      </x:c>
      <x:c r="B23" s="9" t="n">
        <x:v>2</x:v>
      </x:c>
      <x:c r="C23" s="4" t="str">
        <x:v>Victoria</x:v>
      </x:c>
      <x:c r="D23" s="10" t="n">
        <x:v>22268</x:v>
      </x:c>
      <x:c r="E23" s="10" t="n">
        <x:v>3163746</x:v>
      </x:c>
      <x:c r="F23" s="11" t="n">
        <x:f>D23/E23</x:f>
        <x:v>0.0070384917120400944</x:v>
      </x:c>
      <x:c r="G23" s="13" t="n">
        <x:f>RANK(F23,$F$22:$F$29,0)</x:f>
        <x:v>4</x:v>
      </x:c>
    </x:row>
    <x:row r="24" ht="20" customHeight="1">
      <x:c r="A24" s="9" t="n">
        <x:v>2021</x:v>
      </x:c>
      <x:c r="B24" s="9" t="n">
        <x:v>3</x:v>
      </x:c>
      <x:c r="C24" s="4" t="str">
        <x:v>Queensland</x:v>
      </x:c>
      <x:c r="D24" s="10" t="n">
        <x:v>17078</x:v>
      </x:c>
      <x:c r="E24" s="10" t="n">
        <x:v>2428219</x:v>
      </x:c>
      <x:c r="F24" s="11" t="n">
        <x:f>D24/E24</x:f>
        <x:v>0.007033138279537389</x:v>
      </x:c>
      <x:c r="G24" s="13" t="n">
        <x:f>RANK(F24,$F$22:$F$29,0)</x:f>
        <x:v>5</x:v>
      </x:c>
    </x:row>
    <x:row r="25" ht="20" customHeight="1">
      <x:c r="A25" s="9" t="n">
        <x:v>2021</x:v>
      </x:c>
      <x:c r="B25" s="9" t="n">
        <x:v>4</x:v>
      </x:c>
      <x:c r="C25" s="4" t="str">
        <x:v>South Australia</x:v>
      </x:c>
      <x:c r="D25" s="10" t="n">
        <x:v>7310</x:v>
      </x:c>
      <x:c r="E25" s="10" t="n">
        <x:v>834812</x:v>
      </x:c>
      <x:c r="F25" s="11" t="n">
        <x:f>D25/E25</x:f>
        <x:v>0.008756462532881655</x:v>
      </x:c>
      <x:c r="G25" s="13" t="n">
        <x:f>RANK(F25,$F$22:$F$29,0)</x:f>
        <x:v>3</x:v>
      </x:c>
    </x:row>
    <x:row r="26" ht="20" customHeight="1">
      <x:c r="A26" s="9" t="n">
        <x:v>2021</x:v>
      </x:c>
      <x:c r="B26" s="9" t="n">
        <x:v>5</x:v>
      </x:c>
      <x:c r="C26" s="4" t="str">
        <x:v>Western Australia</x:v>
      </x:c>
      <x:c r="D26" s="10" t="n">
        <x:v>8756</x:v>
      </x:c>
      <x:c r="E26" s="10" t="n">
        <x:v>1308799</x:v>
      </x:c>
      <x:c r="F26" s="11" t="n">
        <x:f>D26/E26</x:f>
        <x:v>0.0066901029111422</x:v>
      </x:c>
      <x:c r="G26" s="13" t="n">
        <x:f>RANK(F26,$F$22:$F$29,0)</x:f>
        <x:v>7</x:v>
      </x:c>
    </x:row>
    <x:row r="27" ht="20" customHeight="1">
      <x:c r="A27" s="9" t="n">
        <x:v>2021</x:v>
      </x:c>
      <x:c r="B27" s="9" t="n">
        <x:v>6</x:v>
      </x:c>
      <x:c r="C27" s="4" t="str">
        <x:v>Tasmania</x:v>
      </x:c>
      <x:c r="D27" s="10" t="n">
        <x:v>1760</x:v>
      </x:c>
      <x:c r="E27" s="10" t="n">
        <x:v>252238</x:v>
      </x:c>
      <x:c r="F27" s="11" t="n">
        <x:f>D27/E27</x:f>
        <x:v>0.006977537087988328</x:v>
      </x:c>
      <x:c r="G27" s="13" t="n">
        <x:f>RANK(F27,$F$22:$F$29,0)</x:f>
        <x:v>6</x:v>
      </x:c>
    </x:row>
    <x:row r="28" ht="20" customHeight="1">
      <x:c r="A28" s="9" t="n">
        <x:v>2021</x:v>
      </x:c>
      <x:c r="B28" s="9" t="n">
        <x:v>7</x:v>
      </x:c>
      <x:c r="C28" s="4" t="str">
        <x:v>Northern Territory</x:v>
      </x:c>
      <x:c r="D28" s="10" t="n">
        <x:v>2188</x:v>
      </x:c>
      <x:c r="E28" s="10" t="n">
        <x:v>112217</x:v>
      </x:c>
      <x:c r="F28" s="11" t="n">
        <x:f>D28/E28</x:f>
        <x:v>0.019497937032713405</x:v>
      </x:c>
      <x:c r="G28" s="13" t="n">
        <x:f>RANK(F28,$F$22:$F$29,0)</x:f>
        <x:v>1</x:v>
      </x:c>
    </x:row>
    <x:row r="29" ht="20" customHeight="1">
      <x:c r="A29" s="9" t="n">
        <x:v>2021</x:v>
      </x:c>
      <x:c r="B29" s="9" t="n">
        <x:v>8</x:v>
      </x:c>
      <x:c r="C29" s="4" t="str">
        <x:v>Australian Capital Territory</x:v>
      </x:c>
      <x:c r="D29" s="10" t="n">
        <x:v>5295</x:v>
      </x:c>
      <x:c r="E29" s="10" t="n">
        <x:v>274375</x:v>
      </x:c>
      <x:c r="F29" s="11" t="n">
        <x:f>D29/E29</x:f>
        <x:v>0.019298405466970387</x:v>
      </x:c>
      <x:c r="G29" s="13" t="n">
        <x:f>RANK(F29,$F$22:$F$29,0)</x:f>
        <x:v>2</x:v>
      </x:c>
    </x:row>
  </x:sheetData>
  <x:mergeCells>
    <x:mergeCell ref="A2:G2"/>
    <x:mergeCell ref="A3:G3"/>
  </x:mergeCells>
  <x:conditionalFormatting sqref="F6:F29">
    <x:cfRule type="colorScale" priority="1">
      <x:colorScale>
        <x:cfvo type="min"/>
        <x:cfvo type="percentile" val="50"/>
        <x:cfvo type="max"/>
        <x:color rgb="FFEEF6F2"/>
        <x:color rgb="FF8BC7AE"/>
        <x:color rgb="FF176B5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b46054dfc941d9"/>
  </x:tableParts>
</x:worksheet>
</file>

<file path=xl/worksheets/sheet2.xml><?xml version="1.0" encoding="utf-8"?>
<x:worksheet xmlns:x="http://schemas.openxmlformats.org/spreadsheetml/2006/main">
  <x:sheetPr>
    <x:tabColor rgb="FF77A9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43" hidden="0" customWidth="1"/>
    <x:col min="4" max="4" width="23" hidden="0" customWidth="1"/>
    <x:col min="5" max="5" width="43" hidden="0" customWidth="1"/>
    <x:col min="6" max="6" width="18" hidden="0" customWidth="1"/>
    <x:col min="7" max="7" width="12" hidden="0" customWidth="1"/>
  </x:cols>
  <x:sheetData>
    <x:row r="2">
      <x:c r="A2" s="1" t="str">
        <x:v>Source and Field Mapping</x:v>
      </x:c>
    </x:row>
    <x:row r="3">
      <x:c r="A3" s="2" t="str">
        <x:v>Australian Bureau of Statistics Census Working Population Profile (place of work geography).</x:v>
      </x:c>
    </x:row>
    <x:row r="4">
      <x:c r="A4" s="3"/>
      <x:c r="B4" s="3"/>
      <x:c r="C4" s="3"/>
      <x:c r="D4" s="3"/>
      <x:c r="E4" s="3"/>
      <x:c r="F4" s="3"/>
      <x:c r="G4" s="3"/>
    </x:row>
    <x:row r="5">
      <x:c r="A5" s="8" t="str">
        <x:v>Year</x:v>
      </x:c>
      <x:c r="B5" s="8" t="str">
        <x:v>Geography key</x:v>
      </x:c>
      <x:c r="C5" s="8" t="str">
        <x:v>Bicycle source</x:v>
      </x:c>
      <x:c r="D5" s="8" t="str">
        <x:v>Bicycle field</x:v>
      </x:c>
      <x:c r="E5" s="8" t="str">
        <x:v>Total source</x:v>
      </x:c>
      <x:c r="F5" s="8" t="str">
        <x:v>Total field</x:v>
      </x:c>
      <x:c r="G5" s="8" t="str">
        <x:v>Profile</x:v>
      </x:c>
    </x:row>
    <x:row r="6">
      <x:c r="A6" s="15" t="n">
        <x:v>2011</x:v>
      </x:c>
      <x:c r="B6" s="15" t="str">
        <x:v>region_id</x:v>
      </x:c>
      <x:c r="C6" s="15" t="str">
        <x:v>2011Census_W22D_AUST_STE_short.csv</x:v>
      </x:c>
      <x:c r="D6" s="15" t="str">
        <x:v>P_M1_Bicycle_Tot</x:v>
      </x:c>
      <x:c r="E6" s="15" t="str">
        <x:v>2011Census_W22E_AUST_STE_short.csv</x:v>
      </x:c>
      <x:c r="F6" s="15" t="str">
        <x:v>P_Tot_Tot</x:v>
      </x:c>
      <x:c r="G6" s="15" t="str">
        <x:v>WPP</x:v>
      </x:c>
    </x:row>
    <x:row r="7">
      <x:c r="A7" s="15" t="n">
        <x:v>2016</x:v>
      </x:c>
      <x:c r="B7" s="15" t="str">
        <x:v>STE_CODE_2016</x:v>
      </x:c>
      <x:c r="C7" s="15" t="str">
        <x:v>2016Census_W22D_AUS_STE.csv</x:v>
      </x:c>
      <x:c r="D7" s="15" t="str">
        <x:v>P_M1_Bicycle_Tot</x:v>
      </x:c>
      <x:c r="E7" s="15" t="str">
        <x:v>2016Census_W22E_AUS_STE.csv</x:v>
      </x:c>
      <x:c r="F7" s="15" t="str">
        <x:v>P_Tot_Tot</x:v>
      </x:c>
      <x:c r="G7" s="15" t="str">
        <x:v>WPP</x:v>
      </x:c>
    </x:row>
    <x:row r="8">
      <x:c r="A8" s="15" t="n">
        <x:v>2021</x:v>
      </x:c>
      <x:c r="B8" s="15" t="str">
        <x:v>POW_STE_CODE_2021</x:v>
      </x:c>
      <x:c r="C8" s="15" t="str">
        <x:v>test4.csv</x:v>
      </x:c>
      <x:c r="D8" s="15" t="str">
        <x:v>P_M1_Bicycle_Tot</x:v>
      </x:c>
      <x:c r="E8" s="15" t="str">
        <x:v>byctest2.csv</x:v>
      </x:c>
      <x:c r="F8" s="15" t="str">
        <x:v>P_Tot_Tot</x:v>
      </x:c>
      <x:c r="G8" s="15" t="str">
        <x:v>WPP</x:v>
      </x:c>
    </x:row>
    <x:row r="11">
      <x:c r="A11" s="21" t="str">
        <x:v>Definition</x:v>
      </x:c>
      <x:c r="B11" s="21" t="str">
        <x:v>Details</x:v>
      </x:c>
    </x:row>
    <x:row r="12" ht="34" customHeight="1">
      <x:c r="A12" s="22" t="str">
        <x:v>Bicycle Commuters</x:v>
      </x:c>
      <x:c r="B12" s="26" t="str">
        <x:v>Employed persons who reported bicycle as their only method of travel to work (P_M1_Bicycle_Tot).</x:v>
      </x:c>
    </x:row>
    <x:row r="13" ht="34" customHeight="1">
      <x:c r="A13" s="22" t="str">
        <x:v>Total Employed</x:v>
      </x:c>
      <x:c r="B13" s="26" t="str">
        <x:v>Total employed persons aged 15 years and over in W22 (P_Tot_Tot).</x:v>
      </x:c>
    </x:row>
    <x:row r="14" ht="34" customHeight="1">
      <x:c r="A14" s="22" t="str">
        <x:v>Bicycle Rate</x:v>
      </x:c>
      <x:c r="B14" s="26" t="str">
        <x:v>Bicycle Commuters divided by Total Employed.</x:v>
      </x:c>
    </x:row>
    <x:row r="15" ht="34" customHeight="1">
      <x:c r="A15" s="22" t="str">
        <x:v>Geography</x:v>
      </x:c>
      <x:c r="B15" s="26" t="str">
        <x:v>State or territory of place of work. State codes 1–8 are included; code 9 Other Territories is excluded.</x:v>
      </x:c>
    </x:row>
    <x:row r="16" ht="34" customHeight="1">
      <x:c r="A16" s="22" t="str">
        <x:v>Scope limitation</x:v>
      </x:c>
      <x:c r="B16" s="26" t="str">
        <x:v>Bicycle plus another travel method is not separately identifiable here and is therefore excluded from the numerator.</x:v>
      </x:c>
    </x:row>
    <x:row r="17" ht="34" customHeight="1">
      <x:c r="A17" s="24" t="str">
        <x:v>2021 caution</x:v>
      </x:c>
      <x:c r="B17" s="27" t="str">
        <x:v>Census travel-to-work patterns in 2021 were affected by COVID-19 restrictions and increased working from home.</x:v>
      </x:c>
    </x:row>
    <x:row r="20">
      <x:c r="A20" s="28" t="str">
        <x:v>Source: Australian Bureau of Statistics, Census DataPacks — https://www.abs.gov.au/census/find-census-data/datapacks</x:v>
      </x:c>
    </x:row>
  </x:sheetData>
  <x:mergeCells>
    <x:mergeCell ref="A2:G2"/>
    <x:mergeCell ref="A3:G3"/>
    <x:mergeCell ref="A20:G20"/>
  </x:mergeCells>
  <x:pageMargins left="0.7" right="0.7" top="0.75" bottom="0.75" header="0.3" footer="0.3"/>
  <x:tableParts count="1">
    <x:tablePart xmlns:r="http://schemas.openxmlformats.org/officeDocument/2006/relationships" r:id="Ra1aca3ace6464616"/>
  </x:tableParts>
</x:worksheet>
</file>