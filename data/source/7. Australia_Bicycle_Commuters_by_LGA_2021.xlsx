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09eca8155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 Guide" sheetId="1" r:id="R525cdabad11a42d0"/>
    <x:sheet xmlns:r="http://schemas.openxmlformats.org/officeDocument/2006/relationships" name="LGA Map Data" sheetId="2" r:id="R0d7abc038669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"/>
    <x:numFmt numFmtId="203" formatCode="@"/>
    <x:numFmt numFmtId="204" formatCode="0.000000"/>
    <x:numFmt numFmtId="205" formatCode="#,##0.0"/>
  </x:numFmts>
  <x:fonts count="9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i/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9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20">
    <x:border/>
    <x:border>
      <x:bottom style="medium">
        <x:color rgb="FF2F75B5"/>
      </x:bottom>
    </x:border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5" fillId="3" borderId="4" xfId="0" applyNumberFormat="1" applyFont="1" applyFill="1" applyBorder="1"/>
    <x:xf numFmtId="200" fontId="6" fillId="0" borderId="5" xfId="0" applyNumberFormat="1" applyFont="1" applyFill="1" applyBorder="1"/>
    <x:xf numFmtId="0" fontId="5" fillId="3" borderId="6" xfId="0" applyNumberFormat="1" applyFont="1" applyFill="1" applyBorder="1"/>
    <x:xf numFmtId="201" fontId="6" fillId="0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0" fontId="5" fillId="0" borderId="17" xfId="0" applyNumberFormat="1" applyFont="1" applyFill="1" applyBorder="1"/>
    <x:xf numFmtId="200" fontId="5" fillId="0" borderId="18" xfId="0" applyNumberFormat="1" applyFont="1" applyFill="1" applyBorder="1"/>
    <x:xf numFmtId="200" fontId="5" fillId="0" borderId="19" xfId="0" applyNumberFormat="1" applyFont="1" applyFill="1" applyBorder="1"/>
    <x:xf numFmtId="201" fontId="5" fillId="0" borderId="17" xfId="0" applyNumberFormat="1" applyFont="1" applyFill="1" applyBorder="1"/>
    <x:xf numFmtId="201" fontId="5" fillId="0" borderId="18" xfId="0" applyNumberFormat="1" applyFont="1" applyFill="1" applyBorder="1"/>
    <x:xf numFmtId="201" fontId="5" fillId="0" borderId="19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200" fontId="5" fillId="0" borderId="17" xfId="0" applyNumberFormat="1" applyFont="1" applyFill="1" applyBorder="1" applyAlignment="1">
      <x:alignment vertical="center"/>
    </x:xf>
    <x:xf numFmtId="201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200" fontId="5" fillId="0" borderId="18" xfId="0" applyNumberFormat="1" applyFont="1" applyFill="1" applyBorder="1" applyAlignment="1">
      <x:alignment vertical="center"/>
    </x:xf>
    <x:xf numFmtId="201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200" fontId="5" fillId="0" borderId="19" xfId="0" applyNumberFormat="1" applyFont="1" applyFill="1" applyBorder="1" applyAlignment="1">
      <x:alignment vertical="center"/>
    </x:xf>
    <x:xf numFmtId="201" fontId="5" fillId="0" borderId="19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451308f434263" /><Relationship Type="http://schemas.openxmlformats.org/officeDocument/2006/relationships/theme" Target="/xl/theme/theme1.xml" Id="R1b8cbaad52b3417e" /><Relationship Type="http://schemas.openxmlformats.org/officeDocument/2006/relationships/sharedStrings" Target="/xl/sharedStrings.xml" Id="Rf4c1f89051854dd8" /><Relationship Type="http://schemas.openxmlformats.org/officeDocument/2006/relationships/worksheet" Target="/xl/worksheets/sheet1.xml" Id="R525cdabad11a42d0" /><Relationship Type="http://schemas.openxmlformats.org/officeDocument/2006/relationships/worksheet" Target="/xl/worksheets/sheet2.xml" Id="R0d7abc0386694bac" /></Relationships>
</file>

<file path=xl/tables/table1.xml><?xml version="1.0" encoding="utf-8"?>
<x:table xmlns:x="http://schemas.openxmlformats.org/spreadsheetml/2006/main" id="1" name="LgaBicycleMapData" displayName="LgaBicycleMapData" ref="A6:J553" headerRowCount="1" totalsRowCount="0" totalsRowShown="0">
  <x:tableColumns count="10">
    <x:tableColumn id="1" name="Year"/>
    <x:tableColumn id="2" name="LGA Code"/>
    <x:tableColumn id="3" name="LGA Name"/>
    <x:tableColumn id="4" name="State/Territory"/>
    <x:tableColumn id="5" name="Bicycle Commuters"/>
    <x:tableColumn id="6" name="Total Employed Persons"/>
    <x:tableColumn id="7" name="Bicycle Rate"/>
    <x:tableColumn id="8" name="Longitude"/>
    <x:tableColumn id="9" name="Latitude"/>
    <x:tableColumn id="10" name="Area (sq k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7a0bcd347549c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18" hidden="0" customWidth="1"/>
    <x:col min="4" max="4" width="20" hidden="0" customWidth="1"/>
    <x:col min="5" max="5" width="24" hidden="0" customWidth="1"/>
    <x:col min="6" max="6" width="36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43" t="str">
        <x:v>Proportional-symbol map data: bicycle commuters by LGA</x:v>
      </x:c>
      <x:c r="B2" s="43"/>
      <x:c r="C2" s="43"/>
      <x:c r="D2" s="43"/>
      <x:c r="E2" s="43"/>
      <x:c r="F2" s="43"/>
      <x:c r="G2" s="43"/>
      <x:c r="H2" s="43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45" t="str">
        <x:v>Suggested title</x:v>
      </x:c>
      <x:c r="B4" s="46" t="str">
        <x:v>Bicycle-only commuting is concentrated in a small number of Australian LGAs</x:v>
      </x:c>
      <x:c r="C4" s="46"/>
      <x:c r="D4" s="46"/>
      <x:c r="E4" s="46"/>
      <x:c r="F4" s="46"/>
      <x:c r="G4" s="46"/>
      <x:c r="H4" s="4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47" t="str">
        <x:v>Dataset summary</x:v>
      </x:c>
      <x:c r="B6" s="48" t="str">
        <x:v>Value</x:v>
      </x:c>
      <x:c r="C6" s="75"/>
      <x:c r="D6" s="49" t="str">
        <x:v>Vega-Lite channel</x:v>
      </x:c>
      <x:c r="E6" s="49" t="str">
        <x:v>Use this column</x:v>
      </x:c>
      <x:c r="F6" s="49" t="str">
        <x:v>Purpose</x:v>
      </x:c>
      <x:c r="G6" s="75"/>
      <x:c r="H6" s="75"/>
    </x:row>
    <x:row r="7">
      <x:c r="A7" s="50" t="str">
        <x:v>Mappable LGAs</x:v>
      </x:c>
      <x:c r="B7" s="51" t="n">
        <x:f>COUNTA('LGA Map Data'!A7:A553)</x:f>
        <x:v>547</x:v>
      </x:c>
      <x:c r="C7" s="75"/>
      <x:c r="D7" s="52" t="str">
        <x:v>longitude</x:v>
      </x:c>
      <x:c r="E7" s="53" t="str">
        <x:v>Longitude</x:v>
      </x:c>
      <x:c r="F7" s="54" t="str">
        <x:v>Place each LGA symbol east-west</x:v>
      </x:c>
      <x:c r="G7" s="75"/>
      <x:c r="H7" s="75"/>
    </x:row>
    <x:row r="8">
      <x:c r="A8" s="50" t="str">
        <x:v>Bicycle commuters (one method)</x:v>
      </x:c>
      <x:c r="B8" s="51" t="n">
        <x:f>SUM('LGA Map Data'!E7:E553)</x:f>
        <x:v>78869</x:v>
      </x:c>
      <x:c r="C8" s="75"/>
      <x:c r="D8" s="55" t="str">
        <x:v>latitude</x:v>
      </x:c>
      <x:c r="E8" s="56" t="str">
        <x:v>Latitude</x:v>
      </x:c>
      <x:c r="F8" s="57" t="str">
        <x:v>Place each LGA symbol north-south</x:v>
      </x:c>
      <x:c r="G8" s="75"/>
      <x:c r="H8" s="75"/>
    </x:row>
    <x:row r="9">
      <x:c r="A9" s="50" t="str">
        <x:v>Total employed persons</x:v>
      </x:c>
      <x:c r="B9" s="51" t="n">
        <x:f>SUM('LGA Map Data'!F7:F553)</x:f>
        <x:v>12038048</x:v>
      </x:c>
      <x:c r="C9" s="75"/>
      <x:c r="D9" s="55" t="str">
        <x:v>size</x:v>
      </x:c>
      <x:c r="E9" s="56" t="str">
        <x:v>Bicycle Commuters</x:v>
      </x:c>
      <x:c r="F9" s="57" t="str">
        <x:v>Show the absolute commuter count</x:v>
      </x:c>
      <x:c r="G9" s="75"/>
      <x:c r="H9" s="75"/>
    </x:row>
    <x:row r="10">
      <x:c r="A10" s="58" t="str">
        <x:v>Overall bicycle rate</x:v>
      </x:c>
      <x:c r="B10" s="59" t="n">
        <x:f>B8/B9</x:f>
        <x:v>0.006551643588728007</x:v>
      </x:c>
      <x:c r="C10" s="75"/>
      <x:c r="D10" s="55" t="str">
        <x:v>color</x:v>
      </x:c>
      <x:c r="E10" s="56" t="str">
        <x:v>Bicycle Rate</x:v>
      </x:c>
      <x:c r="F10" s="57" t="str">
        <x:v>Compare bicycle share across LGAs</x:v>
      </x:c>
      <x:c r="G10" s="75"/>
      <x:c r="H10" s="75"/>
    </x:row>
    <x:row r="11">
      <x:c r="A11" s="75"/>
      <x:c r="B11" s="75"/>
      <x:c r="C11" s="75"/>
      <x:c r="D11" s="55" t="str">
        <x:v>tooltip</x:v>
      </x:c>
      <x:c r="E11" s="56" t="str">
        <x:v>LGA, State, Count, Rate</x:v>
      </x:c>
      <x:c r="F11" s="57" t="str">
        <x:v>Show exact values on hover</x:v>
      </x:c>
      <x:c r="G11" s="75"/>
      <x:c r="H11" s="75"/>
    </x:row>
    <x:row r="12">
      <x:c r="A12" s="75"/>
      <x:c r="B12" s="75"/>
      <x:c r="C12" s="75"/>
      <x:c r="D12" s="60" t="str">
        <x:v>filter</x:v>
      </x:c>
      <x:c r="E12" s="61" t="str">
        <x:v>State/Territory</x:v>
      </x:c>
      <x:c r="F12" s="62" t="str">
        <x:v>Optional state selection</x:v>
      </x:c>
      <x:c r="G12" s="75"/>
      <x:c r="H12" s="75"/>
    </x:row>
    <x:row r="13">
      <x:c r="A13" s="49" t="str">
        <x:v>Top 10 LGAs by bicycle commuters</x:v>
      </x:c>
      <x:c r="B13" s="49" t="str">
        <x:v>State/Territory</x:v>
      </x:c>
      <x:c r="C13" s="49" t="str">
        <x:v>Bicycle Commuters</x:v>
      </x:c>
      <x:c r="D13" s="49" t="str">
        <x:v>Bicycle Rate</x:v>
      </x:c>
      <x:c r="E13" s="75"/>
      <x:c r="F13" s="75"/>
      <x:c r="G13" s="75"/>
      <x:c r="H13" s="75"/>
    </x:row>
    <x:row r="14">
      <x:c r="A14" s="63" t="str">
        <x:v>Brisbane</x:v>
      </x:c>
      <x:c r="B14" s="63" t="str">
        <x:v>Queensland</x:v>
      </x:c>
      <x:c r="C14" s="64" t="n">
        <x:v>7685</x:v>
      </x:c>
      <x:c r="D14" s="65" t="n">
        <x:v>0.011603187592666967</x:v>
      </x:c>
      <x:c r="E14" s="75"/>
      <x:c r="F14" s="75"/>
      <x:c r="G14" s="75"/>
      <x:c r="H14" s="75"/>
    </x:row>
    <x:row r="15">
      <x:c r="A15" s="66" t="str">
        <x:v>Unincorporated ACT</x:v>
      </x:c>
      <x:c r="B15" s="66" t="str">
        <x:v>Australian Capital Territory</x:v>
      </x:c>
      <x:c r="C15" s="67" t="n">
        <x:v>5216</x:v>
      </x:c>
      <x:c r="D15" s="68" t="n">
        <x:v>0.020999404158010854</x:v>
      </x:c>
      <x:c r="E15" s="75"/>
      <x:c r="F15" s="75"/>
      <x:c r="G15" s="75"/>
      <x:c r="H15" s="75"/>
    </x:row>
    <x:row r="16">
      <x:c r="A16" s="66" t="str">
        <x:v>Moreland</x:v>
      </x:c>
      <x:c r="B16" s="66" t="str">
        <x:v>Victoria</x:v>
      </x:c>
      <x:c r="C16" s="67" t="n">
        <x:v>2620</x:v>
      </x:c>
      <x:c r="D16" s="68" t="n">
        <x:v>0.02815357668625955</x:v>
      </x:c>
      <x:c r="E16" s="75"/>
      <x:c r="F16" s="75"/>
      <x:c r="G16" s="75"/>
      <x:c r="H16" s="75"/>
    </x:row>
    <x:row r="17">
      <x:c r="A17" s="66" t="str">
        <x:v>Yarra</x:v>
      </x:c>
      <x:c r="B17" s="66" t="str">
        <x:v>Victoria</x:v>
      </x:c>
      <x:c r="C17" s="67" t="n">
        <x:v>2260</x:v>
      </x:c>
      <x:c r="D17" s="68" t="n">
        <x:v>0.039526382986165766</x:v>
      </x:c>
      <x:c r="E17" s="75"/>
      <x:c r="F17" s="75"/>
      <x:c r="G17" s="75"/>
      <x:c r="H17" s="75"/>
    </x:row>
    <x:row r="18">
      <x:c r="A18" s="66" t="str">
        <x:v>Sydney</x:v>
      </x:c>
      <x:c r="B18" s="66" t="str">
        <x:v>New South Wales</x:v>
      </x:c>
      <x:c r="C18" s="67" t="n">
        <x:v>2035</x:v>
      </x:c>
      <x:c r="D18" s="68" t="n">
        <x:v>0.016037765588550534</x:v>
      </x:c>
      <x:c r="E18" s="75"/>
      <x:c r="F18" s="75"/>
      <x:c r="G18" s="75"/>
      <x:c r="H18" s="75"/>
    </x:row>
    <x:row r="19">
      <x:c r="A19" s="66" t="str">
        <x:v>Melbourne</x:v>
      </x:c>
      <x:c r="B19" s="66" t="str">
        <x:v>Victoria</x:v>
      </x:c>
      <x:c r="C19" s="67" t="n">
        <x:v>2010</x:v>
      </x:c>
      <x:c r="D19" s="68" t="n">
        <x:v>0.02224755664272195</x:v>
      </x:c>
      <x:c r="E19" s="75"/>
      <x:c r="F19" s="75"/>
      <x:c r="G19" s="75"/>
      <x:c r="H19" s="75"/>
    </x:row>
    <x:row r="20">
      <x:c r="A20" s="66" t="str">
        <x:v>Gold Coast</x:v>
      </x:c>
      <x:c r="B20" s="66" t="str">
        <x:v>Queensland</x:v>
      </x:c>
      <x:c r="C20" s="67" t="n">
        <x:v>1991</x:v>
      </x:c>
      <x:c r="D20" s="68" t="n">
        <x:v>0.00652566510326021</x:v>
      </x:c>
      <x:c r="E20" s="75"/>
      <x:c r="F20" s="75"/>
      <x:c r="G20" s="75"/>
      <x:c r="H20" s="75"/>
    </x:row>
    <x:row r="21">
      <x:c r="A21" s="66" t="str">
        <x:v>Darebin</x:v>
      </x:c>
      <x:c r="B21" s="66" t="str">
        <x:v>Victoria</x:v>
      </x:c>
      <x:c r="C21" s="67" t="n">
        <x:v>1890</x:v>
      </x:c>
      <x:c r="D21" s="68" t="n">
        <x:v>0.023897732876452513</x:v>
      </x:c>
      <x:c r="E21" s="75"/>
      <x:c r="F21" s="75"/>
      <x:c r="G21" s="75"/>
      <x:c r="H21" s="75"/>
    </x:row>
    <x:row r="22">
      <x:c r="A22" s="66" t="str">
        <x:v>Port Phillip</x:v>
      </x:c>
      <x:c r="B22" s="66" t="str">
        <x:v>Victoria</x:v>
      </x:c>
      <x:c r="C22" s="67" t="n">
        <x:v>1356</x:v>
      </x:c>
      <x:c r="D22" s="68" t="n">
        <x:v>0.022224771769950667</x:v>
      </x:c>
      <x:c r="E22" s="75"/>
      <x:c r="F22" s="75"/>
      <x:c r="G22" s="75"/>
      <x:c r="H22" s="75"/>
    </x:row>
    <x:row r="23">
      <x:c r="A23" s="69" t="str">
        <x:v>Sunshine Coast</x:v>
      </x:c>
      <x:c r="B23" s="69" t="str">
        <x:v>Queensland</x:v>
      </x:c>
      <x:c r="C23" s="70" t="n">
        <x:v>1190</x:v>
      </x:c>
      <x:c r="D23" s="71" t="n">
        <x:v>0.0074239976043570756</x:v>
      </x:c>
      <x:c r="E23" s="75"/>
      <x:c r="F23" s="75"/>
      <x:c r="G23" s="75"/>
      <x:c r="H23" s="75"/>
    </x:row>
    <x:row r="24">
      <x:c r="A24" s="75"/>
      <x:c r="B24" s="75"/>
      <x:c r="C24" s="75"/>
      <x:c r="D24" s="75"/>
      <x:c r="E24" s="75"/>
      <x:c r="F24" s="75"/>
      <x:c r="G24" s="75"/>
      <x:c r="H24" s="75"/>
    </x:row>
    <x:row r="25">
      <x:c r="A25" s="75"/>
      <x:c r="B25" s="75"/>
      <x:c r="C25" s="75"/>
      <x:c r="D25" s="75"/>
      <x:c r="E25" s="75"/>
      <x:c r="F25" s="75"/>
      <x:c r="G25" s="75"/>
      <x:c r="H25" s="75"/>
    </x:row>
    <x:row r="26">
      <x:c r="A26" s="72" t="str">
        <x:v>Definition and limitations</x:v>
      </x:c>
      <x:c r="B26" s="72"/>
      <x:c r="C26" s="72"/>
      <x:c r="D26" s="72"/>
      <x:c r="E26" s="72"/>
      <x:c r="F26" s="72"/>
      <x:c r="G26" s="75"/>
      <x:c r="H26" s="75"/>
    </x:row>
    <x:row r="27" ht="25" customHeight="1">
      <x:c r="A27" s="73" t="str">
        <x:v>Bicycle Commuters uses G62 field One_method_Bicycle_P: employed persons who reported bicycle as their only method of travel to work.</x:v>
      </x:c>
      <x:c r="B27" s="73"/>
      <x:c r="C27" s="73"/>
      <x:c r="D27" s="73"/>
      <x:c r="E27" s="73"/>
      <x:c r="F27" s="73"/>
      <x:c r="G27" s="75"/>
      <x:c r="H27" s="75"/>
    </x:row>
    <x:row r="28" ht="25" customHeight="1">
      <x:c r="A28" s="73" t="str">
        <x:v>Bicycle Rate = Bicycle Commuters divided by Total Employed Persons (G62 Tot_P).</x:v>
      </x:c>
      <x:c r="B28" s="73"/>
      <x:c r="C28" s="73"/>
      <x:c r="D28" s="73"/>
      <x:c r="E28" s="73"/>
      <x:c r="F28" s="73"/>
      <x:c r="G28" s="75"/>
      <x:c r="H28" s="75"/>
    </x:row>
    <x:row r="29" ht="25" customHeight="1">
      <x:c r="A29" s="73" t="str">
        <x:v>Longitude and latitude are geometric centroids calculated from the 2021 ABS LGA boundary polygons (GDA94).</x:v>
      </x:c>
      <x:c r="B29" s="73"/>
      <x:c r="C29" s="73"/>
      <x:c r="D29" s="73"/>
      <x:c r="E29" s="73"/>
      <x:c r="F29" s="73"/>
      <x:c r="G29" s="75"/>
      <x:c r="H29" s="75"/>
    </x:row>
    <x:row r="30" ht="25" customHeight="1">
      <x:c r="A30" s="73" t="str">
        <x:v>Eighteen non-spatial categories (for example, no usual address and migratory/offshore/shipping) are excluded from the map data.</x:v>
      </x:c>
      <x:c r="B30" s="73"/>
      <x:c r="C30" s="73"/>
      <x:c r="D30" s="73"/>
      <x:c r="E30" s="73"/>
      <x:c r="F30" s="73"/>
      <x:c r="G30" s="75"/>
      <x:c r="H30" s="75"/>
    </x:row>
    <x:row r="31">
      <x:c r="A31" s="75"/>
      <x:c r="B31" s="75"/>
      <x:c r="C31" s="75"/>
      <x:c r="D31" s="75"/>
      <x:c r="E31" s="75"/>
      <x:c r="F31" s="75"/>
      <x:c r="G31" s="75"/>
      <x:c r="H31" s="75"/>
    </x:row>
    <x:row r="32">
      <x:c r="A32" s="72" t="str">
        <x:v>Sources</x:v>
      </x:c>
      <x:c r="B32" s="72"/>
      <x:c r="C32" s="72"/>
      <x:c r="D32" s="72"/>
      <x:c r="E32" s="72"/>
      <x:c r="F32" s="72"/>
      <x:c r="G32" s="75"/>
      <x:c r="H32" s="75"/>
    </x:row>
    <x:row r="33" ht="30" customHeight="1">
      <x:c r="A33" s="74" t="str">
        <x:v>ABS 2021 General Community Profile, LGA, table G62</x:v>
      </x:c>
      <x:c r="B33" s="74" t="str">
        <x:v>https://www.abs.gov.au/census/find-census-data/datapacks?release=2021&amp;product=GCP&amp;geography=LGA&amp;header=S</x:v>
      </x:c>
      <x:c r="C33" s="74"/>
      <x:c r="D33" s="74"/>
      <x:c r="E33" s="74"/>
      <x:c r="F33" s="74"/>
      <x:c r="G33" s="75"/>
      <x:c r="H33" s="75"/>
    </x:row>
    <x:row r="34" ht="30" customHeight="1">
      <x:c r="A34" s="74" t="str">
        <x:v>ABS Local Government Areas, 2021, Shapefile</x:v>
      </x:c>
      <x:c r="B34" s="74" t="str">
        <x:v>https://www.abs.gov.au/statistics/standards/australian-statistical-geography-standard-asgs/edition-3-july-2021-june-2026/access-and-downloads/digital-boundary-files</x:v>
      </x:c>
      <x:c r="C34" s="74"/>
      <x:c r="D34" s="74"/>
      <x:c r="E34" s="74"/>
      <x:c r="F34" s="74"/>
      <x:c r="G34" s="75"/>
      <x:c r="H34" s="75"/>
    </x:row>
  </x:sheetData>
  <x:mergeCells>
    <x:mergeCell ref="A27:F27"/>
    <x:mergeCell ref="A28:F28"/>
    <x:mergeCell ref="A29:F29"/>
    <x:mergeCell ref="A30:F30"/>
    <x:mergeCell ref="B33:F33"/>
    <x:mergeCell ref="B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29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3" t="str">
        <x:v>Australia bicycle commuters by Local Government Area, 2021</x:v>
      </x:c>
      <x:c r="B2" s="43"/>
      <x:c r="C2" s="43"/>
      <x:c r="D2" s="43"/>
      <x:c r="E2" s="43"/>
      <x:c r="F2" s="43"/>
      <x:c r="G2" s="43"/>
      <x:c r="H2" s="43"/>
      <x:c r="I2" s="43"/>
      <x:c r="J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>
      <x:c r="A4" s="46" t="str">
        <x:v>Map-ready data. Use Longitude and Latitude for position, Bicycle Commuters for symbol size, and Bicycle Rate for colour.</x:v>
      </x:c>
      <x:c r="B4" s="46"/>
      <x:c r="C4" s="46"/>
      <x:c r="D4" s="46"/>
      <x:c r="E4" s="46"/>
      <x:c r="F4" s="46"/>
      <x:c r="G4" s="46"/>
      <x:c r="H4" s="46"/>
      <x:c r="I4" s="46"/>
      <x:c r="J4" s="46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</x:row>
    <x:row r="6">
      <x:c r="A6" s="84" t="str">
        <x:v>Year</x:v>
      </x:c>
      <x:c r="B6" s="84" t="str">
        <x:v>LGA Code</x:v>
      </x:c>
      <x:c r="C6" s="84" t="str">
        <x:v>LGA Name</x:v>
      </x:c>
      <x:c r="D6" s="84" t="str">
        <x:v>State/Territory</x:v>
      </x:c>
      <x:c r="E6" s="84" t="str">
        <x:v>Bicycle Commuters</x:v>
      </x:c>
      <x:c r="F6" s="84" t="str">
        <x:v>Total Employed Persons</x:v>
      </x:c>
      <x:c r="G6" s="84" t="str">
        <x:v>Bicycle Rate</x:v>
      </x:c>
      <x:c r="H6" s="84" t="str">
        <x:v>Longitude</x:v>
      </x:c>
      <x:c r="I6" s="84" t="str">
        <x:v>Latitude</x:v>
      </x:c>
      <x:c r="J6" s="84" t="str">
        <x:v>Area (sq km)</x:v>
      </x:c>
    </x:row>
    <x:row r="7">
      <x:c r="A7" s="85" t="n">
        <x:v>2021</x:v>
      </x:c>
      <x:c r="B7" s="86" t="str">
        <x:v>31000</x:v>
      </x:c>
      <x:c r="C7" s="87" t="str">
        <x:v>Brisbane</x:v>
      </x:c>
      <x:c r="D7" s="87" t="str">
        <x:v>Queensland</x:v>
      </x:c>
      <x:c r="E7" s="88" t="n">
        <x:v>7685</x:v>
      </x:c>
      <x:c r="F7" s="88" t="n">
        <x:v>662318</x:v>
      </x:c>
      <x:c r="G7" s="89" t="n">
        <x:f>E7/F7</x:f>
        <x:v>0.011603187592666967</x:v>
      </x:c>
      <x:c r="H7" s="90" t="n">
        <x:v>153.0390033012353</x:v>
      </x:c>
      <x:c r="I7" s="90" t="n">
        <x:v>-27.43784099739341</x:v>
      </x:c>
      <x:c r="J7" s="91" t="n">
        <x:v>1342.7173</x:v>
      </x:c>
    </x:row>
    <x:row r="8">
      <x:c r="A8" s="85" t="n">
        <x:v>2021</x:v>
      </x:c>
      <x:c r="B8" s="86" t="str">
        <x:v>89399</x:v>
      </x:c>
      <x:c r="C8" s="87" t="str">
        <x:v>Unincorporated ACT</x:v>
      </x:c>
      <x:c r="D8" s="87" t="str">
        <x:v>Australian Capital Territory</x:v>
      </x:c>
      <x:c r="E8" s="88" t="n">
        <x:v>5216</x:v>
      </x:c>
      <x:c r="F8" s="88" t="n">
        <x:v>248388</x:v>
      </x:c>
      <x:c r="G8" s="89" t="n">
        <x:f>E8/F8</x:f>
        <x:v>0.020999404158010854</x:v>
      </x:c>
      <x:c r="H8" s="90" t="n">
        <x:v>149.00249533278557</x:v>
      </x:c>
      <x:c r="I8" s="90" t="n">
        <x:v>-35.48870967748473</x:v>
      </x:c>
      <x:c r="J8" s="91" t="n">
        <x:v>2358.133</x:v>
      </x:c>
    </x:row>
    <x:row r="9">
      <x:c r="A9" s="85" t="n">
        <x:v>2021</x:v>
      </x:c>
      <x:c r="B9" s="86" t="str">
        <x:v>25250</x:v>
      </x:c>
      <x:c r="C9" s="87" t="str">
        <x:v>Moreland</x:v>
      </x:c>
      <x:c r="D9" s="87" t="str">
        <x:v>Victoria</x:v>
      </x:c>
      <x:c r="E9" s="88" t="n">
        <x:v>2620</x:v>
      </x:c>
      <x:c r="F9" s="88" t="n">
        <x:v>93061</x:v>
      </x:c>
      <x:c r="G9" s="89" t="n">
        <x:f>E9/F9</x:f>
        <x:v>0.02815357668625955</x:v>
      </x:c>
      <x:c r="H9" s="90" t="n">
        <x:v>144.9488880362751</x:v>
      </x:c>
      <x:c r="I9" s="90" t="n">
        <x:v>-37.729918568433284</x:v>
      </x:c>
      <x:c r="J9" s="91" t="n">
        <x:v>50.9522</x:v>
      </x:c>
    </x:row>
    <x:row r="10">
      <x:c r="A10" s="85" t="n">
        <x:v>2021</x:v>
      </x:c>
      <x:c r="B10" s="86" t="str">
        <x:v>27350</x:v>
      </x:c>
      <x:c r="C10" s="87" t="str">
        <x:v>Yarra</x:v>
      </x:c>
      <x:c r="D10" s="87" t="str">
        <x:v>Victoria</x:v>
      </x:c>
      <x:c r="E10" s="88" t="n">
        <x:v>2260</x:v>
      </x:c>
      <x:c r="F10" s="88" t="n">
        <x:v>57177</x:v>
      </x:c>
      <x:c r="G10" s="89" t="n">
        <x:f>E10/F10</x:f>
        <x:v>0.039526382986165766</x:v>
      </x:c>
      <x:c r="H10" s="90" t="n">
        <x:v>144.9985485029909</x:v>
      </x:c>
      <x:c r="I10" s="90" t="n">
        <x:v>-37.80228080617898</x:v>
      </x:c>
      <x:c r="J10" s="91" t="n">
        <x:v>19.5421</x:v>
      </x:c>
    </x:row>
    <x:row r="11">
      <x:c r="A11" s="85" t="n">
        <x:v>2021</x:v>
      </x:c>
      <x:c r="B11" s="86" t="str">
        <x:v>17200</x:v>
      </x:c>
      <x:c r="C11" s="87" t="str">
        <x:v>Sydney</x:v>
      </x:c>
      <x:c r="D11" s="87" t="str">
        <x:v>New South Wales</x:v>
      </x:c>
      <x:c r="E11" s="88" t="n">
        <x:v>2035</x:v>
      </x:c>
      <x:c r="F11" s="88" t="n">
        <x:v>126888</x:v>
      </x:c>
      <x:c r="G11" s="89" t="n">
        <x:f>E11/F11</x:f>
        <x:v>0.016037765588550534</x:v>
      </x:c>
      <x:c r="H11" s="90" t="n">
        <x:v>151.20275554817388</x:v>
      </x:c>
      <x:c r="I11" s="90" t="n">
        <x:v>-33.88945495967221</x:v>
      </x:c>
      <x:c r="J11" s="91" t="n">
        <x:v>26.6762</x:v>
      </x:c>
    </x:row>
    <x:row r="12">
      <x:c r="A12" s="85" t="n">
        <x:v>2021</x:v>
      </x:c>
      <x:c r="B12" s="86" t="str">
        <x:v>24600</x:v>
      </x:c>
      <x:c r="C12" s="87" t="str">
        <x:v>Melbourne</x:v>
      </x:c>
      <x:c r="D12" s="87" t="str">
        <x:v>Victoria</x:v>
      </x:c>
      <x:c r="E12" s="88" t="n">
        <x:v>2010</x:v>
      </x:c>
      <x:c r="F12" s="88" t="n">
        <x:v>90347</x:v>
      </x:c>
      <x:c r="G12" s="89" t="n">
        <x:f>E12/F12</x:f>
        <x:v>0.02224755664272195</x:v>
      </x:c>
      <x:c r="H12" s="90" t="n">
        <x:v>144.94376615969054</x:v>
      </x:c>
      <x:c r="I12" s="90" t="n">
        <x:v>-37.81065405285015</x:v>
      </x:c>
      <x:c r="J12" s="91" t="n">
        <x:v>37.5452</x:v>
      </x:c>
    </x:row>
    <x:row r="13">
      <x:c r="A13" s="85" t="n">
        <x:v>2021</x:v>
      </x:c>
      <x:c r="B13" s="86" t="str">
        <x:v>33430</x:v>
      </x:c>
      <x:c r="C13" s="87" t="str">
        <x:v>Gold Coast</x:v>
      </x:c>
      <x:c r="D13" s="87" t="str">
        <x:v>Queensland</x:v>
      </x:c>
      <x:c r="E13" s="88" t="n">
        <x:v>1991</x:v>
      </x:c>
      <x:c r="F13" s="88" t="n">
        <x:v>305103</x:v>
      </x:c>
      <x:c r="G13" s="89" t="n">
        <x:f>E13/F13</x:f>
        <x:v>0.00652566510326021</x:v>
      </x:c>
      <x:c r="H13" s="90" t="n">
        <x:v>153.3184710182615</x:v>
      </x:c>
      <x:c r="I13" s="90" t="n">
        <x:v>-27.980501184791517</x:v>
      </x:c>
      <x:c r="J13" s="91" t="n">
        <x:v>1333.386</x:v>
      </x:c>
    </x:row>
    <x:row r="14">
      <x:c r="A14" s="85" t="n">
        <x:v>2021</x:v>
      </x:c>
      <x:c r="B14" s="86" t="str">
        <x:v>21890</x:v>
      </x:c>
      <x:c r="C14" s="87" t="str">
        <x:v>Darebin</x:v>
      </x:c>
      <x:c r="D14" s="87" t="str">
        <x:v>Victoria</x:v>
      </x:c>
      <x:c r="E14" s="88" t="n">
        <x:v>1890</x:v>
      </x:c>
      <x:c r="F14" s="88" t="n">
        <x:v>79087</x:v>
      </x:c>
      <x:c r="G14" s="89" t="n">
        <x:f>E14/F14</x:f>
        <x:v>0.023897732876452513</x:v>
      </x:c>
      <x:c r="H14" s="90" t="n">
        <x:v>145.01433312328692</x:v>
      </x:c>
      <x:c r="I14" s="90" t="n">
        <x:v>-37.733458607246874</x:v>
      </x:c>
      <x:c r="J14" s="91" t="n">
        <x:v>53.4712</x:v>
      </x:c>
    </x:row>
    <x:row r="15">
      <x:c r="A15" s="85" t="n">
        <x:v>2021</x:v>
      </x:c>
      <x:c r="B15" s="86" t="str">
        <x:v>25900</x:v>
      </x:c>
      <x:c r="C15" s="87" t="str">
        <x:v>Port Phillip</x:v>
      </x:c>
      <x:c r="D15" s="87" t="str">
        <x:v>Victoria</x:v>
      </x:c>
      <x:c r="E15" s="88" t="n">
        <x:v>1356</x:v>
      </x:c>
      <x:c r="F15" s="88" t="n">
        <x:v>61013</x:v>
      </x:c>
      <x:c r="G15" s="89" t="n">
        <x:f>E15/F15</x:f>
        <x:v>0.022224771769950667</x:v>
      </x:c>
      <x:c r="H15" s="90" t="n">
        <x:v>144.9660223690271</x:v>
      </x:c>
      <x:c r="I15" s="90" t="n">
        <x:v>-37.8519088802449</x:v>
      </x:c>
      <x:c r="J15" s="91" t="n">
        <x:v>20.6141</x:v>
      </x:c>
    </x:row>
    <x:row r="16">
      <x:c r="A16" s="85" t="n">
        <x:v>2021</x:v>
      </x:c>
      <x:c r="B16" s="86" t="str">
        <x:v>36720</x:v>
      </x:c>
      <x:c r="C16" s="87" t="str">
        <x:v>Sunshine Coast</x:v>
      </x:c>
      <x:c r="D16" s="87" t="str">
        <x:v>Queensland</x:v>
      </x:c>
      <x:c r="E16" s="88" t="n">
        <x:v>1190</x:v>
      </x:c>
      <x:c r="F16" s="88" t="n">
        <x:v>160291</x:v>
      </x:c>
      <x:c r="G16" s="89" t="n">
        <x:f>E16/F16</x:f>
        <x:v>0.0074239976043570756</x:v>
      </x:c>
      <x:c r="H16" s="90" t="n">
        <x:v>152.8983519060706</x:v>
      </x:c>
      <x:c r="I16" s="90" t="n">
        <x:v>-26.6961814174539</x:v>
      </x:c>
      <x:c r="J16" s="91" t="n">
        <x:v>2253.8522</x:v>
      </x:c>
    </x:row>
    <x:row r="17">
      <x:c r="A17" s="85" t="n">
        <x:v>2021</x:v>
      </x:c>
      <x:c r="B17" s="86" t="str">
        <x:v>14170</x:v>
      </x:c>
      <x:c r="C17" s="87" t="str">
        <x:v>Inner West</x:v>
      </x:c>
      <x:c r="D17" s="87" t="str">
        <x:v>New South Wales</x:v>
      </x:c>
      <x:c r="E17" s="88" t="n">
        <x:v>1157</x:v>
      </x:c>
      <x:c r="F17" s="88" t="n">
        <x:v>102207</x:v>
      </x:c>
      <x:c r="G17" s="89" t="n">
        <x:f>E17/F17</x:f>
        <x:v>0.01132016398094064</x:v>
      </x:c>
      <x:c r="H17" s="90" t="n">
        <x:v>151.1549099803842</x:v>
      </x:c>
      <x:c r="I17" s="90" t="n">
        <x:v>-33.89133463646777</x:v>
      </x:c>
      <x:c r="J17" s="91" t="n">
        <x:v>35.2115</x:v>
      </x:c>
    </x:row>
    <x:row r="18">
      <x:c r="A18" s="85" t="n">
        <x:v>2021</x:v>
      </x:c>
      <x:c r="B18" s="86" t="str">
        <x:v>71000</x:v>
      </x:c>
      <x:c r="C18" s="87" t="str">
        <x:v>Darwin</x:v>
      </x:c>
      <x:c r="D18" s="87" t="str">
        <x:v>Northern Territory</x:v>
      </x:c>
      <x:c r="E18" s="88" t="n">
        <x:v>1096</x:v>
      </x:c>
      <x:c r="F18" s="88" t="n">
        <x:v>44133</x:v>
      </x:c>
      <x:c r="G18" s="89" t="n">
        <x:f>E18/F18</x:f>
        <x:v>0.024834024426166362</x:v>
      </x:c>
      <x:c r="H18" s="90" t="n">
        <x:v>130.8870095277893</x:v>
      </x:c>
      <x:c r="I18" s="90" t="n">
        <x:v>-12.398414531793295</x:v>
      </x:c>
      <x:c r="J18" s="91" t="n">
        <x:v>111.2614</x:v>
      </x:c>
    </x:row>
    <x:row r="19">
      <x:c r="A19" s="85" t="n">
        <x:v>2021</x:v>
      </x:c>
      <x:c r="B19" s="86" t="str">
        <x:v>37010</x:v>
      </x:c>
      <x:c r="C19" s="87" t="str">
        <x:v>Townsville</x:v>
      </x:c>
      <x:c r="D19" s="87" t="str">
        <x:v>Queensland</x:v>
      </x:c>
      <x:c r="E19" s="88" t="n">
        <x:v>921</x:v>
      </x:c>
      <x:c r="F19" s="88" t="n">
        <x:v>93989</x:v>
      </x:c>
      <x:c r="G19" s="89" t="n">
        <x:f>E19/F19</x:f>
        <x:v>0.009799019034142294</x:v>
      </x:c>
      <x:c r="H19" s="90" t="n">
        <x:v>146.71166987232667</x:v>
      </x:c>
      <x:c r="I19" s="90" t="n">
        <x:v>-19.390833105390595</x:v>
      </x:c>
      <x:c r="J19" s="91" t="n">
        <x:v>3730.8199</x:v>
      </x:c>
    </x:row>
    <x:row r="20">
      <x:c r="A20" s="85" t="n">
        <x:v>2021</x:v>
      </x:c>
      <x:c r="B20" s="86" t="str">
        <x:v>32080</x:v>
      </x:c>
      <x:c r="C20" s="87" t="str">
        <x:v>Cairns</x:v>
      </x:c>
      <x:c r="D20" s="87" t="str">
        <x:v>Queensland</x:v>
      </x:c>
      <x:c r="E20" s="88" t="n">
        <x:v>905</x:v>
      </x:c>
      <x:c r="F20" s="88" t="n">
        <x:v>79649</x:v>
      </x:c>
      <x:c r="G20" s="89" t="n">
        <x:f>E20/F20</x:f>
        <x:v>0.011362352320807543</x:v>
      </x:c>
      <x:c r="H20" s="90" t="n">
        <x:v>145.8190009054032</x:v>
      </x:c>
      <x:c r="I20" s="90" t="n">
        <x:v>-17.160158785502972</x:v>
      </x:c>
      <x:c r="J20" s="91" t="n">
        <x:v>1689.3227</x:v>
      </x:c>
    </x:row>
    <x:row r="21">
      <x:c r="A21" s="78" t="n">
        <x:v>2021</x:v>
      </x:c>
      <x:c r="B21" s="79" t="str">
        <x:v>57910</x:v>
      </x:c>
      <x:c r="C21" s="18" t="str">
        <x:v>Stirling</x:v>
      </x:c>
      <x:c r="D21" s="18" t="str">
        <x:v>Western Australia</x:v>
      </x:c>
      <x:c r="E21" s="80" t="n">
        <x:v>880</x:v>
      </x:c>
      <x:c r="F21" s="80" t="n">
        <x:v>118218</x:v>
      </x:c>
      <x:c r="G21" s="81" t="n">
        <x:f>E21/F21</x:f>
        <x:v>0.007443874875230507</x:v>
      </x:c>
      <x:c r="H21" s="82" t="n">
        <x:v>115.81962690744655</x:v>
      </x:c>
      <x:c r="I21" s="82" t="n">
        <x:v>-31.88569323955643</x:v>
      </x:c>
      <x:c r="J21" s="83" t="n">
        <x:v>104.7273</x:v>
      </x:c>
    </x:row>
    <x:row r="22">
      <x:c r="A22" s="78" t="n">
        <x:v>2021</x:v>
      </x:c>
      <x:c r="B22" s="79" t="str">
        <x:v>47980</x:v>
      </x:c>
      <x:c r="C22" s="18" t="str">
        <x:v>Unley</x:v>
      </x:c>
      <x:c r="D22" s="18" t="str">
        <x:v>South Australia</x:v>
      </x:c>
      <x:c r="E22" s="80" t="n">
        <x:v>876</x:v>
      </x:c>
      <x:c r="F22" s="80" t="n">
        <x:v>19908</x:v>
      </x:c>
      <x:c r="G22" s="81" t="n">
        <x:f>E22/F22</x:f>
        <x:v>0.044002411091018684</x:v>
      </x:c>
      <x:c r="H22" s="82" t="n">
        <x:v>138.60403229957578</x:v>
      </x:c>
      <x:c r="I22" s="82" t="n">
        <x:v>-34.954797203418984</x:v>
      </x:c>
      <x:c r="J22" s="83" t="n">
        <x:v>14.2703</x:v>
      </x:c>
    </x:row>
    <x:row r="23">
      <x:c r="A23" s="78" t="n">
        <x:v>2021</x:v>
      </x:c>
      <x:c r="B23" s="79" t="str">
        <x:v>26350</x:v>
      </x:c>
      <x:c r="C23" s="18" t="str">
        <x:v>Stonnington</x:v>
      </x:c>
      <x:c r="D23" s="18" t="str">
        <x:v>Victoria</x:v>
      </x:c>
      <x:c r="E23" s="80" t="n">
        <x:v>827</x:v>
      </x:c>
      <x:c r="F23" s="80" t="n">
        <x:v>61373</x:v>
      </x:c>
      <x:c r="G23" s="81" t="n">
        <x:f>E23/F23</x:f>
        <x:v>0.013474980854773272</x:v>
      </x:c>
      <x:c r="H23" s="82" t="n">
        <x:v>145.03365686205177</x:v>
      </x:c>
      <x:c r="I23" s="82" t="n">
        <x:v>-37.85795481777993</x:v>
      </x:c>
      <x:c r="J23" s="83" t="n">
        <x:v>25.651</x:v>
      </x:c>
    </x:row>
    <x:row r="24">
      <x:c r="A24" s="78" t="n">
        <x:v>2021</x:v>
      </x:c>
      <x:c r="B24" s="79" t="str">
        <x:v>15900</x:v>
      </x:c>
      <x:c r="C24" s="18" t="str">
        <x:v>Newcastle</x:v>
      </x:c>
      <x:c r="D24" s="18" t="str">
        <x:v>New South Wales</x:v>
      </x:c>
      <x:c r="E24" s="80" t="n">
        <x:v>813</x:v>
      </x:c>
      <x:c r="F24" s="80" t="n">
        <x:v>86062</x:v>
      </x:c>
      <x:c r="G24" s="81" t="n">
        <x:f>E24/F24</x:f>
        <x:v>0.009446677976342637</x:v>
      </x:c>
      <x:c r="H24" s="82" t="n">
        <x:v>151.69569294118043</x:v>
      </x:c>
      <x:c r="I24" s="82" t="n">
        <x:v>-32.88005686514091</x:v>
      </x:c>
      <x:c r="J24" s="83" t="n">
        <x:v>186.7255</x:v>
      </x:c>
    </x:row>
    <x:row r="25">
      <x:c r="A25" s="78" t="n">
        <x:v>2021</x:v>
      </x:c>
      <x:c r="B25" s="79" t="str">
        <x:v>22750</x:v>
      </x:c>
      <x:c r="C25" s="18" t="str">
        <x:v>Greater Geelong</x:v>
      </x:c>
      <x:c r="D25" s="18" t="str">
        <x:v>Victoria</x:v>
      </x:c>
      <x:c r="E25" s="80" t="n">
        <x:v>811</x:v>
      </x:c>
      <x:c r="F25" s="80" t="n">
        <x:v>129587</x:v>
      </x:c>
      <x:c r="G25" s="81" t="n">
        <x:f>E25/F25</x:f>
        <x:v>0.006258343815351849</x:v>
      </x:c>
      <x:c r="H25" s="82" t="n">
        <x:v>144.41716238456243</x:v>
      </x:c>
      <x:c r="I25" s="82" t="n">
        <x:v>-38.06895866733248</x:v>
      </x:c>
      <x:c r="J25" s="83" t="n">
        <x:v>1247.9872</x:v>
      </x:c>
    </x:row>
    <x:row r="26">
      <x:c r="A26" s="78" t="n">
        <x:v>2021</x:v>
      </x:c>
      <x:c r="B26" s="79" t="str">
        <x:v>21110</x:v>
      </x:c>
      <x:c r="C26" s="18" t="str">
        <x:v>Boroondara</x:v>
      </x:c>
      <x:c r="D26" s="18" t="str">
        <x:v>Victoria</x:v>
      </x:c>
      <x:c r="E26" s="80" t="n">
        <x:v>806</x:v>
      </x:c>
      <x:c r="F26" s="80" t="n">
        <x:v>86987</x:v>
      </x:c>
      <x:c r="G26" s="81" t="n">
        <x:f>E26/F26</x:f>
        <x:v>0.009265752353799993</x:v>
      </x:c>
      <x:c r="H26" s="82" t="n">
        <x:v>145.06308917277977</x:v>
      </x:c>
      <x:c r="I26" s="82" t="n">
        <x:v>-37.819286281903416</x:v>
      </x:c>
      <x:c r="J26" s="83" t="n">
        <x:v>60.1776</x:v>
      </x:c>
    </x:row>
    <x:row r="27">
      <x:c r="A27" s="78" t="n">
        <x:v>2021</x:v>
      </x:c>
      <x:c r="B27" s="79" t="str">
        <x:v>62810</x:v>
      </x:c>
      <x:c r="C27" s="18" t="str">
        <x:v>Hobart</x:v>
      </x:c>
      <x:c r="D27" s="18" t="str">
        <x:v>Tasmania</x:v>
      </x:c>
      <x:c r="E27" s="80" t="n">
        <x:v>783</x:v>
      </x:c>
      <x:c r="F27" s="80" t="n">
        <x:v>28780</x:v>
      </x:c>
      <x:c r="G27" s="81" t="n">
        <x:f>E27/F27</x:f>
        <x:v>0.027206393328700486</x:v>
      </x:c>
      <x:c r="H27" s="82" t="n">
        <x:v>147.28760844829546</x:v>
      </x:c>
      <x:c r="I27" s="82" t="n">
        <x:v>-42.897846350501226</x:v>
      </x:c>
      <x:c r="J27" s="83" t="n">
        <x:v>77.8965</x:v>
      </x:c>
    </x:row>
    <x:row r="28">
      <x:c r="A28" s="78" t="n">
        <x:v>2021</x:v>
      </x:c>
      <x:c r="B28" s="79" t="str">
        <x:v>41060</x:v>
      </x:c>
      <x:c r="C28" s="18" t="str">
        <x:v>Charles Sturt</x:v>
      </x:c>
      <x:c r="D28" s="18" t="str">
        <x:v>South Australia</x:v>
      </x:c>
      <x:c r="E28" s="80" t="n">
        <x:v>772</x:v>
      </x:c>
      <x:c r="F28" s="80" t="n">
        <x:v>61344</x:v>
      </x:c>
      <x:c r="G28" s="81" t="n">
        <x:f>E28/F28</x:f>
        <x:v>0.012584767866458008</x:v>
      </x:c>
      <x:c r="H28" s="82" t="n">
        <x:v>138.52361107826</x:v>
      </x:c>
      <x:c r="I28" s="82" t="n">
        <x:v>-34.89036509724338</x:v>
      </x:c>
      <x:c r="J28" s="83" t="n">
        <x:v>54.7876</x:v>
      </x:c>
    </x:row>
    <x:row r="29">
      <x:c r="A29" s="78" t="n">
        <x:v>2021</x:v>
      </x:c>
      <x:c r="B29" s="79" t="str">
        <x:v>15990</x:v>
      </x:c>
      <x:c r="C29" s="18" t="str">
        <x:v>Northern Beaches</x:v>
      </x:c>
      <x:c r="D29" s="18" t="str">
        <x:v>New South Wales</x:v>
      </x:c>
      <x:c r="E29" s="80" t="n">
        <x:v>749</x:v>
      </x:c>
      <x:c r="F29" s="80" t="n">
        <x:v>136223</x:v>
      </x:c>
      <x:c r="G29" s="81" t="n">
        <x:f>E29/F29</x:f>
        <x:v>0.005498337285186789</x:v>
      </x:c>
      <x:c r="H29" s="82" t="n">
        <x:v>151.24967039015488</x:v>
      </x:c>
      <x:c r="I29" s="82" t="n">
        <x:v>-33.69023673256519</x:v>
      </x:c>
      <x:c r="J29" s="83" t="n">
        <x:v>254.2072</x:v>
      </x:c>
    </x:row>
    <x:row r="30">
      <x:c r="A30" s="78" t="n">
        <x:v>2021</x:v>
      </x:c>
      <x:c r="B30" s="79" t="str">
        <x:v>16550</x:v>
      </x:c>
      <x:c r="C30" s="18" t="str">
        <x:v>Randwick</x:v>
      </x:c>
      <x:c r="D30" s="18" t="str">
        <x:v>New South Wales</x:v>
      </x:c>
      <x:c r="E30" s="80" t="n">
        <x:v>685</x:v>
      </x:c>
      <x:c r="F30" s="80" t="n">
        <x:v>69077</x:v>
      </x:c>
      <x:c r="G30" s="81" t="n">
        <x:f>E30/F30</x:f>
        <x:v>0.009916470026202643</x:v>
      </x:c>
      <x:c r="H30" s="82" t="n">
        <x:v>151.24020938789928</x:v>
      </x:c>
      <x:c r="I30" s="82" t="n">
        <x:v>-33.94323889950623</x:v>
      </x:c>
      <x:c r="J30" s="83" t="n">
        <x:v>36.331</x:v>
      </x:c>
    </x:row>
    <x:row r="31">
      <x:c r="A31" s="78" t="n">
        <x:v>2021</x:v>
      </x:c>
      <x:c r="B31" s="79" t="str">
        <x:v>35010</x:v>
      </x:c>
      <x:c r="C31" s="18" t="str">
        <x:v>Moreton Bay</x:v>
      </x:c>
      <x:c r="D31" s="18" t="str">
        <x:v>Queensland</x:v>
      </x:c>
      <x:c r="E31" s="80" t="n">
        <x:v>636</x:v>
      </x:c>
      <x:c r="F31" s="80" t="n">
        <x:v>219332</x:v>
      </x:c>
      <x:c r="G31" s="81" t="n">
        <x:f>E31/F31</x:f>
        <x:v>0.002899713676070979</x:v>
      </x:c>
      <x:c r="H31" s="82" t="n">
        <x:v>152.8831200941118</x:v>
      </x:c>
      <x:c r="I31" s="82" t="n">
        <x:v>-27.117993057800568</x:v>
      </x:c>
      <x:c r="J31" s="83" t="n">
        <x:v>2041.4737</x:v>
      </x:c>
    </x:row>
    <x:row r="32">
      <x:c r="A32" s="78" t="n">
        <x:v>2021</x:v>
      </x:c>
      <x:c r="B32" s="79" t="str">
        <x:v>24330</x:v>
      </x:c>
      <x:c r="C32" s="18" t="str">
        <x:v>Maribyrnong</x:v>
      </x:c>
      <x:c r="D32" s="18" t="str">
        <x:v>Victoria</x:v>
      </x:c>
      <x:c r="E32" s="80" t="n">
        <x:v>635</x:v>
      </x:c>
      <x:c r="F32" s="80" t="n">
        <x:v>47058</x:v>
      </x:c>
      <x:c r="G32" s="81" t="n">
        <x:f>E32/F32</x:f>
        <x:v>0.013493986144757534</x:v>
      </x:c>
      <x:c r="H32" s="82" t="n">
        <x:v>144.87777221374125</x:v>
      </x:c>
      <x:c r="I32" s="82" t="n">
        <x:v>-37.79526739242731</x:v>
      </x:c>
      <x:c r="J32" s="83" t="n">
        <x:v>31.2258</x:v>
      </x:c>
    </x:row>
    <x:row r="33">
      <x:c r="A33" s="78" t="n">
        <x:v>2021</x:v>
      </x:c>
      <x:c r="B33" s="79" t="str">
        <x:v>48410</x:v>
      </x:c>
      <x:c r="C33" s="18" t="str">
        <x:v>West Torrens</x:v>
      </x:c>
      <x:c r="D33" s="18" t="str">
        <x:v>South Australia</x:v>
      </x:c>
      <x:c r="E33" s="80" t="n">
        <x:v>628</x:v>
      </x:c>
      <x:c r="F33" s="80" t="n">
        <x:v>32970</x:v>
      </x:c>
      <x:c r="G33" s="81" t="n">
        <x:f>E33/F33</x:f>
        <x:v>0.01904761904761905</x:v>
      </x:c>
      <x:c r="H33" s="82" t="n">
        <x:v>138.54381204709776</x:v>
      </x:c>
      <x:c r="I33" s="82" t="n">
        <x:v>-34.94143102770956</x:v>
      </x:c>
      <x:c r="J33" s="83" t="n">
        <x:v>37.0886</x:v>
      </x:c>
    </x:row>
    <x:row r="34">
      <x:c r="A34" s="78" t="n">
        <x:v>2021</x:v>
      </x:c>
      <x:c r="B34" s="79" t="str">
        <x:v>25060</x:v>
      </x:c>
      <x:c r="C34" s="18" t="str">
        <x:v>Moonee Valley</x:v>
      </x:c>
      <x:c r="D34" s="18" t="str">
        <x:v>Victoria</x:v>
      </x:c>
      <x:c r="E34" s="80" t="n">
        <x:v>606</x:v>
      </x:c>
      <x:c r="F34" s="80" t="n">
        <x:v>64208</x:v>
      </x:c>
      <x:c r="G34" s="81" t="n">
        <x:f>E34/F34</x:f>
        <x:v>0.009438076252180414</x:v>
      </x:c>
      <x:c r="H34" s="82" t="n">
        <x:v>144.8957616232204</x:v>
      </x:c>
      <x:c r="I34" s="82" t="n">
        <x:v>-37.74949991303545</x:v>
      </x:c>
      <x:c r="J34" s="83" t="n">
        <x:v>43.1384</x:v>
      </x:c>
    </x:row>
    <x:row r="35">
      <x:c r="A35" s="78" t="n">
        <x:v>2021</x:v>
      </x:c>
      <x:c r="B35" s="79" t="str">
        <x:v>22310</x:v>
      </x:c>
      <x:c r="C35" s="18" t="str">
        <x:v>Glen Eira</x:v>
      </x:c>
      <x:c r="D35" s="18" t="str">
        <x:v>Victoria</x:v>
      </x:c>
      <x:c r="E35" s="80" t="n">
        <x:v>586</x:v>
      </x:c>
      <x:c r="F35" s="80" t="n">
        <x:v>79628</x:v>
      </x:c>
      <x:c r="G35" s="81" t="n">
        <x:f>E35/F35</x:f>
        <x:v>0.007359220374742553</x:v>
      </x:c>
      <x:c r="H35" s="82" t="n">
        <x:v>145.04260253878778</x:v>
      </x:c>
      <x:c r="I35" s="82" t="n">
        <x:v>-37.901205822642666</x:v>
      </x:c>
      <x:c r="J35" s="83" t="n">
        <x:v>38.6908</x:v>
      </x:c>
    </x:row>
    <x:row r="36">
      <x:c r="A36" s="78" t="n">
        <x:v>2021</x:v>
      </x:c>
      <x:c r="B36" s="79" t="str">
        <x:v>45290</x:v>
      </x:c>
      <x:c r="C36" s="18" t="str">
        <x:v>Norwood Payneham and St Peters</x:v>
      </x:c>
      <x:c r="D36" s="18" t="str">
        <x:v>South Australia</x:v>
      </x:c>
      <x:c r="E36" s="80" t="n">
        <x:v>572</x:v>
      </x:c>
      <x:c r="F36" s="80" t="n">
        <x:v>19346</x:v>
      </x:c>
      <x:c r="G36" s="81" t="n">
        <x:f>E36/F36</x:f>
        <x:v>0.029566835521554844</x:v>
      </x:c>
      <x:c r="H36" s="82" t="n">
        <x:v>138.63644967316858</x:v>
      </x:c>
      <x:c r="I36" s="82" t="n">
        <x:v>-34.90757387121035</x:v>
      </x:c>
      <x:c r="J36" s="83" t="n">
        <x:v>15.1036</x:v>
      </x:c>
    </x:row>
    <x:row r="37">
      <x:c r="A37" s="78" t="n">
        <x:v>2021</x:v>
      </x:c>
      <x:c r="B37" s="79" t="str">
        <x:v>58570</x:v>
      </x:c>
      <x:c r="C37" s="18" t="str">
        <x:v>Vincent</x:v>
      </x:c>
      <x:c r="D37" s="18" t="str">
        <x:v>Western Australia</x:v>
      </x:c>
      <x:c r="E37" s="80" t="n">
        <x:v>565</x:v>
      </x:c>
      <x:c r="F37" s="80" t="n">
        <x:v>22010</x:v>
      </x:c>
      <x:c r="G37" s="81" t="n">
        <x:f>E37/F37</x:f>
        <x:v>0.02567014993184916</x:v>
      </x:c>
      <x:c r="H37" s="82" t="n">
        <x:v>115.85254456463072</x:v>
      </x:c>
      <x:c r="I37" s="82" t="n">
        <x:v>-31.931290398284496</x:v>
      </x:c>
      <x:c r="J37" s="83" t="n">
        <x:v>11.3771</x:v>
      </x:c>
    </x:row>
    <x:row r="38">
      <x:c r="A38" s="78" t="n">
        <x:v>2021</x:v>
      </x:c>
      <x:c r="B38" s="79" t="str">
        <x:v>44340</x:v>
      </x:c>
      <x:c r="C38" s="18" t="str">
        <x:v>Mitcham</x:v>
      </x:c>
      <x:c r="D38" s="18" t="str">
        <x:v>South Australia</x:v>
      </x:c>
      <x:c r="E38" s="80" t="n">
        <x:v>558</x:v>
      </x:c>
      <x:c r="F38" s="80" t="n">
        <x:v>34217</x:v>
      </x:c>
      <x:c r="G38" s="81" t="n">
        <x:f>E38/F38</x:f>
        <x:v>0.016307683315311104</x:v>
      </x:c>
      <x:c r="H38" s="82" t="n">
        <x:v>138.62175005502797</x:v>
      </x:c>
      <x:c r="I38" s="82" t="n">
        <x:v>-35.00387567283614</x:v>
      </x:c>
      <x:c r="J38" s="83" t="n">
        <x:v>75.5468</x:v>
      </x:c>
    </x:row>
    <x:row r="39">
      <x:c r="A39" s="78" t="n">
        <x:v>2021</x:v>
      </x:c>
      <x:c r="B39" s="79" t="str">
        <x:v>70200</x:v>
      </x:c>
      <x:c r="C39" s="18" t="str">
        <x:v>Alice Springs</x:v>
      </x:c>
      <x:c r="D39" s="18" t="str">
        <x:v>Northern Territory</x:v>
      </x:c>
      <x:c r="E39" s="80" t="n">
        <x:v>549</x:v>
      </x:c>
      <x:c r="F39" s="80" t="n">
        <x:v>13726</x:v>
      </x:c>
      <x:c r="G39" s="81" t="n">
        <x:f>E39/F39</x:f>
        <x:v>0.03999708582252659</x:v>
      </x:c>
      <x:c r="H39" s="82" t="n">
        <x:v>133.85476862350745</x:v>
      </x:c>
      <x:c r="I39" s="82" t="n">
        <x:v>-23.735073133056574</x:v>
      </x:c>
      <x:c r="J39" s="83" t="n">
        <x:v>327.7132</x:v>
      </x:c>
    </x:row>
    <x:row r="40">
      <x:c r="A40" s="78" t="n">
        <x:v>2021</x:v>
      </x:c>
      <x:c r="B40" s="79" t="str">
        <x:v>40700</x:v>
      </x:c>
      <x:c r="C40" s="18" t="str">
        <x:v>Burnside</x:v>
      </x:c>
      <x:c r="D40" s="18" t="str">
        <x:v>South Australia</x:v>
      </x:c>
      <x:c r="E40" s="80" t="n">
        <x:v>508</x:v>
      </x:c>
      <x:c r="F40" s="80" t="n">
        <x:v>22310</x:v>
      </x:c>
      <x:c r="G40" s="81" t="n">
        <x:f>E40/F40</x:f>
        <x:v>0.022770058269834154</x:v>
      </x:c>
      <x:c r="H40" s="82" t="n">
        <x:v>138.65986711046224</x:v>
      </x:c>
      <x:c r="I40" s="82" t="n">
        <x:v>-34.93997633786571</x:v>
      </x:c>
      <x:c r="J40" s="83" t="n">
        <x:v>27.5183</x:v>
      </x:c>
    </x:row>
    <x:row r="41">
      <x:c r="A41" s="78" t="n">
        <x:v>2021</x:v>
      </x:c>
      <x:c r="B41" s="79" t="str">
        <x:v>45890</x:v>
      </x:c>
      <x:c r="C41" s="18" t="str">
        <x:v>Port Adelaide Enfield</x:v>
      </x:c>
      <x:c r="D41" s="18" t="str">
        <x:v>South Australia</x:v>
      </x:c>
      <x:c r="E41" s="80" t="n">
        <x:v>452</x:v>
      </x:c>
      <x:c r="F41" s="80" t="n">
        <x:v>63073</x:v>
      </x:c>
      <x:c r="G41" s="81" t="n">
        <x:f>E41/F41</x:f>
        <x:v>0.007166299367399679</x:v>
      </x:c>
      <x:c r="H41" s="82" t="n">
        <x:v>138.56150767284223</x:v>
      </x:c>
      <x:c r="I41" s="82" t="n">
        <x:v>-34.84071200820064</x:v>
      </x:c>
      <x:c r="J41" s="83" t="n">
        <x:v>91.7588</x:v>
      </x:c>
    </x:row>
    <x:row r="42">
      <x:c r="A42" s="78" t="n">
        <x:v>2021</x:v>
      </x:c>
      <x:c r="B42" s="79" t="str">
        <x:v>50420</x:v>
      </x:c>
      <x:c r="C42" s="18" t="str">
        <x:v>Bayswater</x:v>
      </x:c>
      <x:c r="D42" s="18" t="str">
        <x:v>Western Australia</x:v>
      </x:c>
      <x:c r="E42" s="80" t="n">
        <x:v>436</x:v>
      </x:c>
      <x:c r="F42" s="80" t="n">
        <x:v>36553</x:v>
      </x:c>
      <x:c r="G42" s="81" t="n">
        <x:f>E42/F42</x:f>
        <x:v>0.01192788553607091</x:v>
      </x:c>
      <x:c r="H42" s="82" t="n">
        <x:v>115.90781702257331</x:v>
      </x:c>
      <x:c r="I42" s="82" t="n">
        <x:v>-31.903788915217962</x:v>
      </x:c>
      <x:c r="J42" s="83" t="n">
        <x:v>34.6169</x:v>
      </x:c>
    </x:row>
    <x:row r="43">
      <x:c r="A43" s="78" t="n">
        <x:v>2021</x:v>
      </x:c>
      <x:c r="B43" s="79" t="str">
        <x:v>55320</x:v>
      </x:c>
      <x:c r="C43" s="18" t="str">
        <x:v>Melville</x:v>
      </x:c>
      <x:c r="D43" s="18" t="str">
        <x:v>Western Australia</x:v>
      </x:c>
      <x:c r="E43" s="80" t="n">
        <x:v>435</x:v>
      </x:c>
      <x:c r="F43" s="80" t="n">
        <x:v>51746</x:v>
      </x:c>
      <x:c r="G43" s="81" t="n">
        <x:f>E43/F43</x:f>
        <x:v>0.008406446875120783</x:v>
      </x:c>
      <x:c r="H43" s="82" t="n">
        <x:v>115.82938818491978</x:v>
      </x:c>
      <x:c r="I43" s="82" t="n">
        <x:v>-32.04744661818395</x:v>
      </x:c>
      <x:c r="J43" s="83" t="n">
        <x:v>52.8505</x:v>
      </x:c>
    </x:row>
    <x:row r="44">
      <x:c r="A44" s="78" t="n">
        <x:v>2021</x:v>
      </x:c>
      <x:c r="B44" s="79" t="str">
        <x:v>36910</x:v>
      </x:c>
      <x:c r="C44" s="18" t="str">
        <x:v>Toowoomba</x:v>
      </x:c>
      <x:c r="D44" s="18" t="str">
        <x:v>Queensland</x:v>
      </x:c>
      <x:c r="E44" s="80" t="n">
        <x:v>420</x:v>
      </x:c>
      <x:c r="F44" s="80" t="n">
        <x:v>79508</x:v>
      </x:c>
      <x:c r="G44" s="81" t="n">
        <x:f>E44/F44</x:f>
        <x:v>0.005282487296875786</x:v>
      </x:c>
      <x:c r="H44" s="82" t="n">
        <x:v>151.53389294228694</x:v>
      </x:c>
      <x:c r="I44" s="82" t="n">
        <x:v>-27.581992310421537</x:v>
      </x:c>
      <x:c r="J44" s="83" t="n">
        <x:v>12957.2103</x:v>
      </x:c>
    </x:row>
    <x:row r="45">
      <x:c r="A45" s="78" t="n">
        <x:v>2021</x:v>
      </x:c>
      <x:c r="B45" s="79" t="str">
        <x:v>18450</x:v>
      </x:c>
      <x:c r="C45" s="18" t="str">
        <x:v>Wollongong</x:v>
      </x:c>
      <x:c r="D45" s="18" t="str">
        <x:v>New South Wales</x:v>
      </x:c>
      <x:c r="E45" s="80" t="n">
        <x:v>416</x:v>
      </x:c>
      <x:c r="F45" s="80" t="n">
        <x:v>98020</x:v>
      </x:c>
      <x:c r="G45" s="81" t="n">
        <x:f>E45/F45</x:f>
        <x:v>0.004244031830238726</x:v>
      </x:c>
      <x:c r="H45" s="82" t="n">
        <x:v>150.83714035401198</x:v>
      </x:c>
      <x:c r="I45" s="82" t="n">
        <x:v>-34.36885088004944</x:v>
      </x:c>
      <x:c r="J45" s="83" t="n">
        <x:v>684.3076</x:v>
      </x:c>
    </x:row>
    <x:row r="46">
      <x:c r="A46" s="78" t="n">
        <x:v>2021</x:v>
      </x:c>
      <x:c r="B46" s="79" t="str">
        <x:v>20910</x:v>
      </x:c>
      <x:c r="C46" s="18" t="str">
        <x:v>Bayside (Vic.)</x:v>
      </x:c>
      <x:c r="D46" s="18" t="str">
        <x:v>Victoria</x:v>
      </x:c>
      <x:c r="E46" s="80" t="n">
        <x:v>402</x:v>
      </x:c>
      <x:c r="F46" s="80" t="n">
        <x:v>50508</x:v>
      </x:c>
      <x:c r="G46" s="81" t="n">
        <x:f>E46/F46</x:f>
        <x:v>0.007959135186505107</x:v>
      </x:c>
      <x:c r="H46" s="82" t="n">
        <x:v>145.0181538750098</x:v>
      </x:c>
      <x:c r="I46" s="82" t="n">
        <x:v>-37.941839044649264</x:v>
      </x:c>
      <x:c r="J46" s="83" t="n">
        <x:v>37.2111</x:v>
      </x:c>
    </x:row>
    <x:row r="47">
      <x:c r="A47" s="78" t="n">
        <x:v>2021</x:v>
      </x:c>
      <x:c r="B47" s="79" t="str">
        <x:v>44060</x:v>
      </x:c>
      <x:c r="C47" s="18" t="str">
        <x:v>Marion</x:v>
      </x:c>
      <x:c r="D47" s="18" t="str">
        <x:v>South Australia</x:v>
      </x:c>
      <x:c r="E47" s="80" t="n">
        <x:v>402</x:v>
      </x:c>
      <x:c r="F47" s="80" t="n">
        <x:v>47816</x:v>
      </x:c>
      <x:c r="G47" s="81" t="n">
        <x:f>E47/F47</x:f>
        <x:v>0.008407227706207127</x:v>
      </x:c>
      <x:c r="H47" s="82" t="n">
        <x:v>138.53969634801442</x:v>
      </x:c>
      <x:c r="I47" s="82" t="n">
        <x:v>-35.03248304813903</x:v>
      </x:c>
      <x:c r="J47" s="83" t="n">
        <x:v>55.6406</x:v>
      </x:c>
    </x:row>
    <x:row r="48">
      <x:c r="A48" s="78" t="n">
        <x:v>2021</x:v>
      </x:c>
      <x:c r="B48" s="79" t="str">
        <x:v>51310</x:v>
      </x:c>
      <x:c r="C48" s="18" t="str">
        <x:v>Cambridge</x:v>
      </x:c>
      <x:c r="D48" s="18" t="str">
        <x:v>Western Australia</x:v>
      </x:c>
      <x:c r="E48" s="80" t="n">
        <x:v>391</x:v>
      </x:c>
      <x:c r="F48" s="80" t="n">
        <x:v>14988</x:v>
      </x:c>
      <x:c r="G48" s="81" t="n">
        <x:f>E48/F48</x:f>
        <x:v>0.026087536696023487</x:v>
      </x:c>
      <x:c r="H48" s="82" t="n">
        <x:v>115.78639938178812</x:v>
      </x:c>
      <x:c r="I48" s="82" t="n">
        <x:v>-31.936278661682426</x:v>
      </x:c>
      <x:c r="J48" s="83" t="n">
        <x:v>21.9555</x:v>
      </x:c>
    </x:row>
    <x:row r="49">
      <x:c r="A49" s="78" t="n">
        <x:v>2021</x:v>
      </x:c>
      <x:c r="B49" s="79" t="str">
        <x:v>23430</x:v>
      </x:c>
      <x:c r="C49" s="18" t="str">
        <x:v>Kingston (Vic.)</x:v>
      </x:c>
      <x:c r="D49" s="18" t="str">
        <x:v>Victoria</x:v>
      </x:c>
      <x:c r="E49" s="80" t="n">
        <x:v>388</x:v>
      </x:c>
      <x:c r="F49" s="80" t="n">
        <x:v>81284</x:v>
      </x:c>
      <x:c r="G49" s="81" t="n">
        <x:f>E49/F49</x:f>
        <x:v>0.00477338713645982</x:v>
      </x:c>
      <x:c r="H49" s="82" t="n">
        <x:v>145.10507228212524</x:v>
      </x:c>
      <x:c r="I49" s="82" t="n">
        <x:v>-37.98858353357599</x:v>
      </x:c>
      <x:c r="J49" s="83" t="n">
        <x:v>91.3676</x:v>
      </x:c>
    </x:row>
    <x:row r="50">
      <x:c r="A50" s="78" t="n">
        <x:v>2021</x:v>
      </x:c>
      <x:c r="B50" s="79" t="str">
        <x:v>10500</x:v>
      </x:c>
      <x:c r="C50" s="18" t="str">
        <x:v>Bayside (NSW)</x:v>
      </x:c>
      <x:c r="D50" s="18" t="str">
        <x:v>New South Wales</x:v>
      </x:c>
      <x:c r="E50" s="80" t="n">
        <x:v>378</x:v>
      </x:c>
      <x:c r="F50" s="80" t="n">
        <x:v>85131</x:v>
      </x:c>
      <x:c r="G50" s="81" t="n">
        <x:f>E50/F50</x:f>
        <x:v>0.004440215667618141</x:v>
      </x:c>
      <x:c r="H50" s="82" t="n">
        <x:v>151.16711499939947</x:v>
      </x:c>
      <x:c r="I50" s="82" t="n">
        <x:v>-33.949528358598485</x:v>
      </x:c>
      <x:c r="J50" s="83" t="n">
        <x:v>50.6204</x:v>
      </x:c>
    </x:row>
    <x:row r="51">
      <x:c r="A51" s="78" t="n">
        <x:v>2021</x:v>
      </x:c>
      <x:c r="B51" s="79" t="str">
        <x:v>24970</x:v>
      </x:c>
      <x:c r="C51" s="18" t="str">
        <x:v>Monash</x:v>
      </x:c>
      <x:c r="D51" s="18" t="str">
        <x:v>Victoria</x:v>
      </x:c>
      <x:c r="E51" s="80" t="n">
        <x:v>376</x:v>
      </x:c>
      <x:c r="F51" s="80" t="n">
        <x:v>92075</x:v>
      </x:c>
      <x:c r="G51" s="81" t="n">
        <x:f>E51/F51</x:f>
        <x:v>0.004083627477599783</x:v>
      </x:c>
      <x:c r="H51" s="82" t="n">
        <x:v>145.1440334873339</x:v>
      </x:c>
      <x:c r="I51" s="82" t="n">
        <x:v>-37.89714147757234</x:v>
      </x:c>
      <x:c r="J51" s="83" t="n">
        <x:v>81.4829</x:v>
      </x:c>
    </x:row>
    <x:row r="52">
      <x:c r="A52" s="78" t="n">
        <x:v>2021</x:v>
      </x:c>
      <x:c r="B52" s="79" t="str">
        <x:v>53430</x:v>
      </x:c>
      <x:c r="C52" s="18" t="str">
        <x:v>Fremantle</x:v>
      </x:c>
      <x:c r="D52" s="18" t="str">
        <x:v>Western Australia</x:v>
      </x:c>
      <x:c r="E52" s="80" t="n">
        <x:v>374</x:v>
      </x:c>
      <x:c r="F52" s="80" t="n">
        <x:v>16569</x:v>
      </x:c>
      <x:c r="G52" s="81" t="n">
        <x:f>E52/F52</x:f>
        <x:v>0.022572273522843866</x:v>
      </x:c>
      <x:c r="H52" s="82" t="n">
        <x:v>115.76612679843524</x:v>
      </x:c>
      <x:c r="I52" s="82" t="n">
        <x:v>-32.0574386149406</x:v>
      </x:c>
      <x:c r="J52" s="83" t="n">
        <x:v>19.2892</x:v>
      </x:c>
    </x:row>
    <x:row r="53">
      <x:c r="A53" s="78" t="n">
        <x:v>2021</x:v>
      </x:c>
      <x:c r="B53" s="79" t="str">
        <x:v>20660</x:v>
      </x:c>
      <x:c r="C53" s="18" t="str">
        <x:v>Banyule</x:v>
      </x:c>
      <x:c r="D53" s="18" t="str">
        <x:v>Victoria</x:v>
      </x:c>
      <x:c r="E53" s="80" t="n">
        <x:v>371</x:v>
      </x:c>
      <x:c r="F53" s="80" t="n">
        <x:v>63920</x:v>
      </x:c>
      <x:c r="G53" s="81" t="n">
        <x:f>E53/F53</x:f>
        <x:v>0.00580413016270338</x:v>
      </x:c>
      <x:c r="H53" s="82" t="n">
        <x:v>145.08514089507563</x:v>
      </x:c>
      <x:c r="I53" s="82" t="n">
        <x:v>-37.73044098078869</x:v>
      </x:c>
      <x:c r="J53" s="83" t="n">
        <x:v>62.5402</x:v>
      </x:c>
    </x:row>
    <x:row r="54">
      <x:c r="A54" s="78" t="n">
        <x:v>2021</x:v>
      </x:c>
      <x:c r="B54" s="79" t="str">
        <x:v>18050</x:v>
      </x:c>
      <x:c r="C54" s="18" t="str">
        <x:v>Waverley</x:v>
      </x:c>
      <x:c r="D54" s="18" t="str">
        <x:v>New South Wales</x:v>
      </x:c>
      <x:c r="E54" s="80" t="n">
        <x:v>365</x:v>
      </x:c>
      <x:c r="F54" s="80" t="n">
        <x:v>38229</x:v>
      </x:c>
      <x:c r="G54" s="81" t="n">
        <x:f>E54/F54</x:f>
        <x:v>0.009547725548667242</x:v>
      </x:c>
      <x:c r="H54" s="82" t="n">
        <x:v>151.2668462284595</x:v>
      </x:c>
      <x:c r="I54" s="82" t="n">
        <x:v>-33.89005098959392</x:v>
      </x:c>
      <x:c r="J54" s="83" t="n">
        <x:v>9.3506</x:v>
      </x:c>
    </x:row>
    <x:row r="55">
      <x:c r="A55" s="78" t="n">
        <x:v>2021</x:v>
      </x:c>
      <x:c r="B55" s="79" t="str">
        <x:v>40070</x:v>
      </x:c>
      <x:c r="C55" s="18" t="str">
        <x:v>Adelaide</x:v>
      </x:c>
      <x:c r="D55" s="18" t="str">
        <x:v>South Australia</x:v>
      </x:c>
      <x:c r="E55" s="80" t="n">
        <x:v>354</x:v>
      </x:c>
      <x:c r="F55" s="80" t="n">
        <x:v>12644</x:v>
      </x:c>
      <x:c r="G55" s="81" t="n">
        <x:f>E55/F55</x:f>
        <x:v>0.027997469155330593</x:v>
      </x:c>
      <x:c r="H55" s="82" t="n">
        <x:v>138.59891253569802</x:v>
      </x:c>
      <x:c r="I55" s="82" t="n">
        <x:v>-34.921982957387016</x:v>
      </x:c>
      <x:c r="J55" s="83" t="n">
        <x:v>15.5733</x:v>
      </x:c>
    </x:row>
    <x:row r="56">
      <x:c r="A56" s="78" t="n">
        <x:v>2021</x:v>
      </x:c>
      <x:c r="B56" s="79" t="str">
        <x:v>57840</x:v>
      </x:c>
      <x:c r="C56" s="18" t="str">
        <x:v>South Perth</x:v>
      </x:c>
      <x:c r="D56" s="18" t="str">
        <x:v>Western Australia</x:v>
      </x:c>
      <x:c r="E56" s="80" t="n">
        <x:v>342</x:v>
      </x:c>
      <x:c r="F56" s="80" t="n">
        <x:v>23079</x:v>
      </x:c>
      <x:c r="G56" s="81" t="n">
        <x:f>E56/F56</x:f>
        <x:v>0.014818666320031197</x:v>
      </x:c>
      <x:c r="H56" s="82" t="n">
        <x:v>115.87001468095535</x:v>
      </x:c>
      <x:c r="I56" s="82" t="n">
        <x:v>-31.997857021868867</x:v>
      </x:c>
      <x:c r="J56" s="83" t="n">
        <x:v>19.8114</x:v>
      </x:c>
    </x:row>
    <x:row r="57">
      <x:c r="A57" s="78" t="n">
        <x:v>2021</x:v>
      </x:c>
      <x:c r="B57" s="79" t="str">
        <x:v>11350</x:v>
      </x:c>
      <x:c r="C57" s="18" t="str">
        <x:v>Byron</x:v>
      </x:c>
      <x:c r="D57" s="18" t="str">
        <x:v>New South Wales</x:v>
      </x:c>
      <x:c r="E57" s="80" t="n">
        <x:v>337</x:v>
      </x:c>
      <x:c r="F57" s="80" t="n">
        <x:v>16724</x:v>
      </x:c>
      <x:c r="G57" s="81" t="n">
        <x:f>E57/F57</x:f>
        <x:v>0.020150681655106435</x:v>
      </x:c>
      <x:c r="H57" s="82" t="n">
        <x:v>153.48250525331733</x:v>
      </x:c>
      <x:c r="I57" s="82" t="n">
        <x:v>-28.604166598449734</x:v>
      </x:c>
      <x:c r="J57" s="83" t="n">
        <x:v>565.8027</x:v>
      </x:c>
    </x:row>
    <x:row r="58">
      <x:c r="A58" s="78" t="n">
        <x:v>2021</x:v>
      </x:c>
      <x:c r="B58" s="79" t="str">
        <x:v>22620</x:v>
      </x:c>
      <x:c r="C58" s="18" t="str">
        <x:v>Greater Bendigo</x:v>
      </x:c>
      <x:c r="D58" s="18" t="str">
        <x:v>Victoria</x:v>
      </x:c>
      <x:c r="E58" s="80" t="n">
        <x:v>326</x:v>
      </x:c>
      <x:c r="F58" s="80" t="n">
        <x:v>56299</x:v>
      </x:c>
      <x:c r="G58" s="81" t="n">
        <x:f>E58/F58</x:f>
        <x:v>0.005790511376756248</x:v>
      </x:c>
      <x:c r="H58" s="82" t="n">
        <x:v>144.42264587598294</x:v>
      </x:c>
      <x:c r="I58" s="82" t="n">
        <x:v>-36.73444118043095</x:v>
      </x:c>
      <x:c r="J58" s="83" t="n">
        <x:v>2999.9717</x:v>
      </x:c>
    </x:row>
    <x:row r="59">
      <x:c r="A59" s="78" t="n">
        <x:v>2021</x:v>
      </x:c>
      <x:c r="B59" s="79" t="str">
        <x:v>54170</x:v>
      </x:c>
      <x:c r="C59" s="18" t="str">
        <x:v>Joondalup</x:v>
      </x:c>
      <x:c r="D59" s="18" t="str">
        <x:v>Western Australia</x:v>
      </x:c>
      <x:c r="E59" s="80" t="n">
        <x:v>319</x:v>
      </x:c>
      <x:c r="F59" s="80" t="n">
        <x:v>83741</x:v>
      </x:c>
      <x:c r="G59" s="81" t="n">
        <x:f>E59/F59</x:f>
        <x:v>0.003809364588433384</x:v>
      </x:c>
      <x:c r="H59" s="82" t="n">
        <x:v>115.766698776996</x:v>
      </x:c>
      <x:c r="I59" s="82" t="n">
        <x:v>-31.78349804400125</x:v>
      </x:c>
      <x:c r="J59" s="83" t="n">
        <x:v>98.942</x:v>
      </x:c>
    </x:row>
    <x:row r="60">
      <x:c r="A60" s="78" t="n">
        <x:v>2021</x:v>
      </x:c>
      <x:c r="B60" s="79" t="str">
        <x:v>17550</x:v>
      </x:c>
      <x:c r="C60" s="18" t="str">
        <x:v>Tweed</x:v>
      </x:c>
      <x:c r="D60" s="18" t="str">
        <x:v>New South Wales</x:v>
      </x:c>
      <x:c r="E60" s="80" t="n">
        <x:v>311</x:v>
      </x:c>
      <x:c r="F60" s="80" t="n">
        <x:v>40678</x:v>
      </x:c>
      <x:c r="G60" s="81" t="n">
        <x:f>E60/F60</x:f>
        <x:v>0.0076454102954914204</x:v>
      </x:c>
      <x:c r="H60" s="82" t="n">
        <x:v>153.35629111359947</x:v>
      </x:c>
      <x:c r="I60" s="82" t="n">
        <x:v>-28.359983126610683</x:v>
      </x:c>
      <x:c r="J60" s="83" t="n">
        <x:v>1307.7853</x:v>
      </x:c>
    </x:row>
    <x:row r="61">
      <x:c r="A61" s="78" t="n">
        <x:v>2021</x:v>
      </x:c>
      <x:c r="B61" s="79" t="str">
        <x:v>23110</x:v>
      </x:c>
      <x:c r="C61" s="18" t="str">
        <x:v>Hobsons Bay</x:v>
      </x:c>
      <x:c r="D61" s="18" t="str">
        <x:v>Victoria</x:v>
      </x:c>
      <x:c r="E61" s="80" t="n">
        <x:v>309</x:v>
      </x:c>
      <x:c r="F61" s="80" t="n">
        <x:v>45021</x:v>
      </x:c>
      <x:c r="G61" s="81" t="n">
        <x:f>E61/F61</x:f>
        <x:v>0.006863463716932098</x:v>
      </x:c>
      <x:c r="H61" s="82" t="n">
        <x:v>144.82975761977312</x:v>
      </x:c>
      <x:c r="I61" s="82" t="n">
        <x:v>-37.854720609415175</x:v>
      </x:c>
      <x:c r="J61" s="83" t="n">
        <x:v>64.2405</x:v>
      </x:c>
    </x:row>
    <x:row r="62">
      <x:c r="A62" s="78" t="n">
        <x:v>2021</x:v>
      </x:c>
      <x:c r="B62" s="79" t="str">
        <x:v>20570</x:v>
      </x:c>
      <x:c r="C62" s="18" t="str">
        <x:v>Ballarat</x:v>
      </x:c>
      <x:c r="D62" s="18" t="str">
        <x:v>Victoria</x:v>
      </x:c>
      <x:c r="E62" s="80" t="n">
        <x:v>307</x:v>
      </x:c>
      <x:c r="F62" s="80" t="n">
        <x:v>53104</x:v>
      </x:c>
      <x:c r="G62" s="81" t="n">
        <x:f>E62/F62</x:f>
        <x:v>0.0057811087677011146</x:v>
      </x:c>
      <x:c r="H62" s="82" t="n">
        <x:v>143.78147065051724</x:v>
      </x:c>
      <x:c r="I62" s="82" t="n">
        <x:v>-37.49285355818353</x:v>
      </x:c>
      <x:c r="J62" s="83" t="n">
        <x:v>739.0321</x:v>
      </x:c>
    </x:row>
    <x:row r="63">
      <x:c r="A63" s="78" t="n">
        <x:v>2021</x:v>
      </x:c>
      <x:c r="B63" s="79" t="str">
        <x:v>34770</x:v>
      </x:c>
      <x:c r="C63" s="18" t="str">
        <x:v>Mackay</x:v>
      </x:c>
      <x:c r="D63" s="18" t="str">
        <x:v>Queensland</x:v>
      </x:c>
      <x:c r="E63" s="80" t="n">
        <x:v>300</x:v>
      </x:c>
      <x:c r="F63" s="80" t="n">
        <x:v>58955</x:v>
      </x:c>
      <x:c r="G63" s="81" t="n">
        <x:f>E63/F63</x:f>
        <x:v>0.005088626918836401</x:v>
      </x:c>
      <x:c r="H63" s="82" t="n">
        <x:v>148.8042429552274</x:v>
      </x:c>
      <x:c r="I63" s="82" t="n">
        <x:v>-21.139091863415132</x:v>
      </x:c>
      <x:c r="J63" s="83" t="n">
        <x:v>7613.2963</x:v>
      </x:c>
    </x:row>
    <x:row r="64">
      <x:c r="A64" s="78" t="n">
        <x:v>2021</x:v>
      </x:c>
      <x:c r="B64" s="79" t="str">
        <x:v>16260</x:v>
      </x:c>
      <x:c r="C64" s="18" t="str">
        <x:v>Parramatta</x:v>
      </x:c>
      <x:c r="D64" s="18" t="str">
        <x:v>New South Wales</x:v>
      </x:c>
      <x:c r="E64" s="80" t="n">
        <x:v>299</x:v>
      </x:c>
      <x:c r="F64" s="80" t="n">
        <x:v>123037</x:v>
      </x:c>
      <x:c r="G64" s="81" t="n">
        <x:f>E64/F64</x:f>
        <x:v>0.0024301632842153175</x:v>
      </x:c>
      <x:c r="H64" s="82" t="n">
        <x:v>151.0293070837313</x:v>
      </x:c>
      <x:c r="I64" s="82" t="n">
        <x:v>-33.79934313137732</x:v>
      </x:c>
      <x:c r="J64" s="83" t="n">
        <x:v>83.8303</x:v>
      </x:c>
    </x:row>
    <x:row r="65">
      <x:c r="A65" s="78" t="n">
        <x:v>2021</x:v>
      </x:c>
      <x:c r="B65" s="79" t="str">
        <x:v>26980</x:v>
      </x:c>
      <x:c r="C65" s="18" t="str">
        <x:v>Whitehorse</x:v>
      </x:c>
      <x:c r="D65" s="18" t="str">
        <x:v>Victoria</x:v>
      </x:c>
      <x:c r="E65" s="80" t="n">
        <x:v>299</x:v>
      </x:c>
      <x:c r="F65" s="80" t="n">
        <x:v>83325</x:v>
      </x:c>
      <x:c r="G65" s="81" t="n">
        <x:f>E65/F65</x:f>
        <x:v>0.0035883588358835883</x:v>
      </x:c>
      <x:c r="H65" s="82" t="n">
        <x:v>145.1550597742378</x:v>
      </x:c>
      <x:c r="I65" s="82" t="n">
        <x:v>-37.8302484717305</x:v>
      </x:c>
      <x:c r="J65" s="83" t="n">
        <x:v>64.2801</x:v>
      </x:c>
    </x:row>
    <x:row r="66">
      <x:c r="A66" s="78" t="n">
        <x:v>2021</x:v>
      </x:c>
      <x:c r="B66" s="79" t="str">
        <x:v>57980</x:v>
      </x:c>
      <x:c r="C66" s="18" t="str">
        <x:v>Subiaco</x:v>
      </x:c>
      <x:c r="D66" s="18" t="str">
        <x:v>Western Australia</x:v>
      </x:c>
      <x:c r="E66" s="80" t="n">
        <x:v>293</x:v>
      </x:c>
      <x:c r="F66" s="80" t="n">
        <x:v>9155</x:v>
      </x:c>
      <x:c r="G66" s="81" t="n">
        <x:f>E66/F66</x:f>
        <x:v>0.03200436919716002</x:v>
      </x:c>
      <x:c r="H66" s="82" t="n">
        <x:v>115.81871874448011</x:v>
      </x:c>
      <x:c r="I66" s="82" t="n">
        <x:v>-31.952022894555178</x:v>
      </x:c>
      <x:c r="J66" s="83" t="n">
        <x:v>5.6182</x:v>
      </x:c>
    </x:row>
    <x:row r="67">
      <x:c r="A67" s="78" t="n">
        <x:v>2021</x:v>
      </x:c>
      <x:c r="B67" s="79" t="str">
        <x:v>33220</x:v>
      </x:c>
      <x:c r="C67" s="18" t="str">
        <x:v>Fraser Coast</x:v>
      </x:c>
      <x:c r="D67" s="18" t="str">
        <x:v>Queensland</x:v>
      </x:c>
      <x:c r="E67" s="80" t="n">
        <x:v>286</x:v>
      </x:c>
      <x:c r="F67" s="80" t="n">
        <x:v>37531</x:v>
      </x:c>
      <x:c r="G67" s="81" t="n">
        <x:f>E67/F67</x:f>
        <x:v>0.007620367163145133</x:v>
      </x:c>
      <x:c r="H67" s="82" t="n">
        <x:v>152.67673146354753</x:v>
      </x:c>
      <x:c r="I67" s="82" t="n">
        <x:v>-25.527901800674186</x:v>
      </x:c>
      <x:c r="J67" s="83" t="n">
        <x:v>7104.5984</x:v>
      </x:c>
    </x:row>
    <x:row r="68">
      <x:c r="A68" s="78" t="n">
        <x:v>2021</x:v>
      </x:c>
      <x:c r="B68" s="79" t="str">
        <x:v>27260</x:v>
      </x:c>
      <x:c r="C68" s="18" t="str">
        <x:v>Wyndham</x:v>
      </x:c>
      <x:c r="D68" s="18" t="str">
        <x:v>Victoria</x:v>
      </x:c>
      <x:c r="E68" s="80" t="n">
        <x:v>282</x:v>
      </x:c>
      <x:c r="F68" s="80" t="n">
        <x:v>135825</x:v>
      </x:c>
      <x:c r="G68" s="81" t="n">
        <x:f>E68/F68</x:f>
        <x:v>0.0020762009939260077</x:v>
      </x:c>
      <x:c r="H68" s="82" t="n">
        <x:v>144.61825238114724</x:v>
      </x:c>
      <x:c r="I68" s="82" t="n">
        <x:v>-37.88664700027305</x:v>
      </x:c>
      <x:c r="J68" s="83" t="n">
        <x:v>542.0943</x:v>
      </x:c>
    </x:row>
    <x:row r="69">
      <x:c r="A69" s="78" t="n">
        <x:v>2021</x:v>
      </x:c>
      <x:c r="B69" s="79" t="str">
        <x:v>56580</x:v>
      </x:c>
      <x:c r="C69" s="18" t="str">
        <x:v>Nedlands</x:v>
      </x:c>
      <x:c r="D69" s="18" t="str">
        <x:v>Western Australia</x:v>
      </x:c>
      <x:c r="E69" s="80" t="n">
        <x:v>281</x:v>
      </x:c>
      <x:c r="F69" s="80" t="n">
        <x:v>10851</x:v>
      </x:c>
      <x:c r="G69" s="81" t="n">
        <x:f>E69/F69</x:f>
        <x:v>0.025896230762141738</x:v>
      </x:c>
      <x:c r="H69" s="82" t="n">
        <x:v>115.78957753184595</x:v>
      </x:c>
      <x:c r="I69" s="82" t="n">
        <x:v>-31.972449553297928</x:v>
      </x:c>
      <x:c r="J69" s="83" t="n">
        <x:v>19.6449</x:v>
      </x:c>
    </x:row>
    <x:row r="70">
      <x:c r="A70" s="78" t="n">
        <x:v>2021</x:v>
      </x:c>
      <x:c r="B70" s="79" t="str">
        <x:v>11650</x:v>
      </x:c>
      <x:c r="C70" s="18" t="str">
        <x:v>Central Coast (NSW)</x:v>
      </x:c>
      <x:c r="D70" s="18" t="str">
        <x:v>New South Wales</x:v>
      </x:c>
      <x:c r="E70" s="80" t="n">
        <x:v>273</x:v>
      </x:c>
      <x:c r="F70" s="80" t="n">
        <x:v>150834</x:v>
      </x:c>
      <x:c r="G70" s="81" t="n">
        <x:f>E70/F70</x:f>
        <x:v>0.0018099367516607662</x:v>
      </x:c>
      <x:c r="H70" s="82" t="n">
        <x:v>151.2854828128091</x:v>
      </x:c>
      <x:c r="I70" s="82" t="n">
        <x:v>-33.307986562973554</x:v>
      </x:c>
      <x:c r="J70" s="83" t="n">
        <x:v>1681.0059</x:v>
      </x:c>
    </x:row>
    <x:row r="71">
      <x:c r="A71" s="78" t="n">
        <x:v>2021</x:v>
      </x:c>
      <x:c r="B71" s="79" t="str">
        <x:v>58510</x:v>
      </x:c>
      <x:c r="C71" s="18" t="str">
        <x:v>Victoria Park</x:v>
      </x:c>
      <x:c r="D71" s="18" t="str">
        <x:v>Western Australia</x:v>
      </x:c>
      <x:c r="E71" s="80" t="n">
        <x:v>267</x:v>
      </x:c>
      <x:c r="F71" s="80" t="n">
        <x:v>20410</x:v>
      </x:c>
      <x:c r="G71" s="81" t="n">
        <x:f>E71/F71</x:f>
        <x:v>0.013081822635962763</x:v>
      </x:c>
      <x:c r="H71" s="82" t="n">
        <x:v>115.90147004696</x:v>
      </x:c>
      <x:c r="I71" s="82" t="n">
        <x:v>-31.9797137039853</x:v>
      </x:c>
      <x:c r="J71" s="83" t="n">
        <x:v>17.9396</x:v>
      </x:c>
    </x:row>
    <x:row r="72">
      <x:c r="A72" s="78" t="n">
        <x:v>2021</x:v>
      </x:c>
      <x:c r="B72" s="79" t="str">
        <x:v>51330</x:v>
      </x:c>
      <x:c r="C72" s="18" t="str">
        <x:v>Canning</x:v>
      </x:c>
      <x:c r="D72" s="18" t="str">
        <x:v>Western Australia</x:v>
      </x:c>
      <x:c r="E72" s="80" t="n">
        <x:v>266</x:v>
      </x:c>
      <x:c r="F72" s="80" t="n">
        <x:v>48045</x:v>
      </x:c>
      <x:c r="G72" s="81" t="n">
        <x:f>E72/F72</x:f>
        <x:v>0.005536476220210219</x:v>
      </x:c>
      <x:c r="H72" s="82" t="n">
        <x:v>115.91635099749402</x:v>
      </x:c>
      <x:c r="I72" s="82" t="n">
        <x:v>-32.036894625106214</x:v>
      </x:c>
      <x:c r="J72" s="83" t="n">
        <x:v>64.8791</x:v>
      </x:c>
    </x:row>
    <x:row r="73">
      <x:c r="A73" s="78" t="n">
        <x:v>2021</x:v>
      </x:c>
      <x:c r="B73" s="79" t="str">
        <x:v>11570</x:v>
      </x:c>
      <x:c r="C73" s="18" t="str">
        <x:v>Canterbury-Bankstown</x:v>
      </x:c>
      <x:c r="D73" s="18" t="str">
        <x:v>New South Wales</x:v>
      </x:c>
      <x:c r="E73" s="80" t="n">
        <x:v>265</x:v>
      </x:c>
      <x:c r="F73" s="80" t="n">
        <x:v>133597</x:v>
      </x:c>
      <x:c r="G73" s="81" t="n">
        <x:f>E73/F73</x:f>
        <x:v>0.0019835774755421155</x:v>
      </x:c>
      <x:c r="H73" s="82" t="n">
        <x:v>151.03732023555392</x:v>
      </x:c>
      <x:c r="I73" s="82" t="n">
        <x:v>-33.92350770541584</x:v>
      </x:c>
      <x:c r="J73" s="83" t="n">
        <x:v>110.2374</x:v>
      </x:c>
    </x:row>
    <x:row r="74">
      <x:c r="A74" s="78" t="n">
        <x:v>2021</x:v>
      </x:c>
      <x:c r="B74" s="79" t="str">
        <x:v>17150</x:v>
      </x:c>
      <x:c r="C74" s="18" t="str">
        <x:v>Sutherland Shire</x:v>
      </x:c>
      <x:c r="D74" s="18" t="str">
        <x:v>New South Wales</x:v>
      </x:c>
      <x:c r="E74" s="80" t="n">
        <x:v>264</x:v>
      </x:c>
      <x:c r="F74" s="80" t="n">
        <x:v>117444</x:v>
      </x:c>
      <x:c r="G74" s="81" t="n">
        <x:f>E74/F74</x:f>
        <x:v>0.002247879840604884</x:v>
      </x:c>
      <x:c r="H74" s="82" t="n">
        <x:v>151.05101033596435</x:v>
      </x:c>
      <x:c r="I74" s="82" t="n">
        <x:v>-34.07514029380803</x:v>
      </x:c>
      <x:c r="J74" s="83" t="n">
        <x:v>333.5806</x:v>
      </x:c>
    </x:row>
    <x:row r="75">
      <x:c r="A75" s="78" t="n">
        <x:v>2021</x:v>
      </x:c>
      <x:c r="B75" s="79" t="str">
        <x:v>51820</x:v>
      </x:c>
      <x:c r="C75" s="18" t="str">
        <x:v>Cockburn</x:v>
      </x:c>
      <x:c r="D75" s="18" t="str">
        <x:v>Western Australia</x:v>
      </x:c>
      <x:c r="E75" s="80" t="n">
        <x:v>242</x:v>
      </x:c>
      <x:c r="F75" s="80" t="n">
        <x:v>62912</x:v>
      </x:c>
      <x:c r="G75" s="81" t="n">
        <x:f>E75/F75</x:f>
        <x:v>0.003846642929806714</x:v>
      </x:c>
      <x:c r="H75" s="82" t="n">
        <x:v>115.7928911793617</x:v>
      </x:c>
      <x:c r="I75" s="82" t="n">
        <x:v>-32.114280792331655</x:v>
      </x:c>
      <x:c r="J75" s="83" t="n">
        <x:v>167.9415</x:v>
      </x:c>
    </x:row>
    <x:row r="76">
      <x:c r="A76" s="78" t="n">
        <x:v>2021</x:v>
      </x:c>
      <x:c r="B76" s="79" t="str">
        <x:v>25340</x:v>
      </x:c>
      <x:c r="C76" s="18" t="str">
        <x:v>Mornington Peninsula</x:v>
      </x:c>
      <x:c r="D76" s="18" t="str">
        <x:v>Victoria</x:v>
      </x:c>
      <x:c r="E76" s="80" t="n">
        <x:v>241</x:v>
      </x:c>
      <x:c r="F76" s="80" t="n">
        <x:v>75773</x:v>
      </x:c>
      <x:c r="G76" s="81" t="n">
        <x:f>E76/F76</x:f>
        <x:v>0.0031805524395233133</x:v>
      </x:c>
      <x:c r="H76" s="82" t="n">
        <x:v>145.0352892024196</x:v>
      </x:c>
      <x:c r="I76" s="82" t="n">
        <x:v>-38.34169035330676</x:v>
      </x:c>
      <x:c r="J76" s="83" t="n">
        <x:v>723.992</x:v>
      </x:c>
    </x:row>
    <x:row r="77">
      <x:c r="A77" s="78" t="n">
        <x:v>2021</x:v>
      </x:c>
      <x:c r="B77" s="79" t="str">
        <x:v>57080</x:v>
      </x:c>
      <x:c r="C77" s="18" t="str">
        <x:v>Perth</x:v>
      </x:c>
      <x:c r="D77" s="18" t="str">
        <x:v>Western Australia</x:v>
      </x:c>
      <x:c r="E77" s="80" t="n">
        <x:v>241</x:v>
      </x:c>
      <x:c r="F77" s="80" t="n">
        <x:v>16702</x:v>
      </x:c>
      <x:c r="G77" s="81" t="n">
        <x:f>E77/F77</x:f>
        <x:v>0.014429409651538739</x:v>
      </x:c>
      <x:c r="H77" s="82" t="n">
        <x:v>115.84655461293355</x:v>
      </x:c>
      <x:c r="I77" s="82" t="n">
        <x:v>-31.960171283856422</x:v>
      </x:c>
      <x:c r="J77" s="83" t="n">
        <x:v>13.7335</x:v>
      </x:c>
    </x:row>
    <x:row r="78">
      <x:c r="A78" s="78" t="n">
        <x:v>2021</x:v>
      </x:c>
      <x:c r="B78" s="79" t="str">
        <x:v>42600</x:v>
      </x:c>
      <x:c r="C78" s="18" t="str">
        <x:v>Holdfast Bay</x:v>
      </x:c>
      <x:c r="D78" s="18" t="str">
        <x:v>South Australia</x:v>
      </x:c>
      <x:c r="E78" s="80" t="n">
        <x:v>237</x:v>
      </x:c>
      <x:c r="F78" s="80" t="n">
        <x:v>18522</x:v>
      </x:c>
      <x:c r="G78" s="81" t="n">
        <x:f>E78/F78</x:f>
        <x:v>0.01279559442824749</x:v>
      </x:c>
      <x:c r="H78" s="82" t="n">
        <x:v>138.5213100160074</x:v>
      </x:c>
      <x:c r="I78" s="82" t="n">
        <x:v>-35.001144020930994</x:v>
      </x:c>
      <x:c r="J78" s="83" t="n">
        <x:v>13.752</x:v>
      </x:c>
    </x:row>
    <x:row r="79">
      <x:c r="A79" s="78" t="n">
        <x:v>2021</x:v>
      </x:c>
      <x:c r="B79" s="79" t="str">
        <x:v>34590</x:v>
      </x:c>
      <x:c r="C79" s="18" t="str">
        <x:v>Logan</x:v>
      </x:c>
      <x:c r="D79" s="18" t="str">
        <x:v>Queensland</x:v>
      </x:c>
      <x:c r="E79" s="80" t="n">
        <x:v>234</x:v>
      </x:c>
      <x:c r="F79" s="80" t="n">
        <x:v>151708</x:v>
      </x:c>
      <x:c r="G79" s="81" t="n">
        <x:f>E79/F79</x:f>
        <x:v>0.001542436786458196</x:v>
      </x:c>
      <x:c r="H79" s="82" t="n">
        <x:v>153.0402070387233</x:v>
      </x:c>
      <x:c r="I79" s="82" t="n">
        <x:v>-27.762396087510332</x:v>
      </x:c>
      <x:c r="J79" s="83" t="n">
        <x:v>958.1333</x:v>
      </x:c>
    </x:row>
    <x:row r="80">
      <x:c r="A80" s="78" t="n">
        <x:v>2021</x:v>
      </x:c>
      <x:c r="B80" s="79" t="str">
        <x:v>14650</x:v>
      </x:c>
      <x:c r="C80" s="18" t="str">
        <x:v>Lake Macquarie</x:v>
      </x:c>
      <x:c r="D80" s="18" t="str">
        <x:v>New South Wales</x:v>
      </x:c>
      <x:c r="E80" s="80" t="n">
        <x:v>229</x:v>
      </x:c>
      <x:c r="F80" s="80" t="n">
        <x:v>97411</x:v>
      </x:c>
      <x:c r="G80" s="81" t="n">
        <x:f>E80/F80</x:f>
        <x:v>0.002350863865477205</x:v>
      </x:c>
      <x:c r="H80" s="82" t="n">
        <x:v>151.53018207183396</x:v>
      </x:c>
      <x:c r="I80" s="82" t="n">
        <x:v>-33.03885709932598</x:v>
      </x:c>
      <x:c r="J80" s="83" t="n">
        <x:v>648.6393</x:v>
      </x:c>
    </x:row>
    <x:row r="81">
      <x:c r="A81" s="78" t="n">
        <x:v>2021</x:v>
      </x:c>
      <x:c r="B81" s="79" t="str">
        <x:v>10250</x:v>
      </x:c>
      <x:c r="C81" s="18" t="str">
        <x:v>Ballina</x:v>
      </x:c>
      <x:c r="D81" s="18" t="str">
        <x:v>New South Wales</x:v>
      </x:c>
      <x:c r="E81" s="80" t="n">
        <x:v>225</x:v>
      </x:c>
      <x:c r="F81" s="80" t="n">
        <x:v>20775</x:v>
      </x:c>
      <x:c r="G81" s="81" t="n">
        <x:f>E81/F81</x:f>
        <x:v>0.010830324909747292</x:v>
      </x:c>
      <x:c r="H81" s="82" t="n">
        <x:v>153.48615133279603</x:v>
      </x:c>
      <x:c r="I81" s="82" t="n">
        <x:v>-28.852887362353865</x:v>
      </x:c>
      <x:c r="J81" s="83" t="n">
        <x:v>484.9692</x:v>
      </x:c>
    </x:row>
    <x:row r="82">
      <x:c r="A82" s="78" t="n">
        <x:v>2021</x:v>
      </x:c>
      <x:c r="B82" s="79" t="str">
        <x:v>46510</x:v>
      </x:c>
      <x:c r="C82" s="18" t="str">
        <x:v>Prospect</x:v>
      </x:c>
      <x:c r="D82" s="18" t="str">
        <x:v>South Australia</x:v>
      </x:c>
      <x:c r="E82" s="80" t="n">
        <x:v>214</x:v>
      </x:c>
      <x:c r="F82" s="80" t="n">
        <x:v>12294</x:v>
      </x:c>
      <x:c r="G82" s="81" t="n">
        <x:f>E82/F82</x:f>
        <x:v>0.017406865137465432</x:v>
      </x:c>
      <x:c r="H82" s="82" t="n">
        <x:v>138.59793593662098</x:v>
      </x:c>
      <x:c r="I82" s="82" t="n">
        <x:v>-34.88399710694679</x:v>
      </x:c>
      <x:c r="J82" s="83" t="n">
        <x:v>7.7915</x:v>
      </x:c>
    </x:row>
    <x:row r="83">
      <x:c r="A83" s="78" t="n">
        <x:v>2021</x:v>
      </x:c>
      <x:c r="B83" s="79" t="str">
        <x:v>10050</x:v>
      </x:c>
      <x:c r="C83" s="18" t="str">
        <x:v>Albury</x:v>
      </x:c>
      <x:c r="D83" s="18" t="str">
        <x:v>New South Wales</x:v>
      </x:c>
      <x:c r="E83" s="80" t="n">
        <x:v>211</x:v>
      </x:c>
      <x:c r="F83" s="80" t="n">
        <x:v>26344</x:v>
      </x:c>
      <x:c r="G83" s="81" t="n">
        <x:f>E83/F83</x:f>
        <x:v>0.008009413908290313</x:v>
      </x:c>
      <x:c r="H83" s="82" t="n">
        <x:v>146.97052010834048</x:v>
      </x:c>
      <x:c r="I83" s="82" t="n">
        <x:v>-36.026551832064186</x:v>
      </x:c>
      <x:c r="J83" s="83" t="n">
        <x:v>305.6386</x:v>
      </x:c>
    </x:row>
    <x:row r="84">
      <x:c r="A84" s="78" t="n">
        <x:v>2021</x:v>
      </x:c>
      <x:c r="B84" s="79" t="str">
        <x:v>23670</x:v>
      </x:c>
      <x:c r="C84" s="18" t="str">
        <x:v>Knox</x:v>
      </x:c>
      <x:c r="D84" s="18" t="str">
        <x:v>Victoria</x:v>
      </x:c>
      <x:c r="E84" s="80" t="n">
        <x:v>211</x:v>
      </x:c>
      <x:c r="F84" s="80" t="n">
        <x:v>81521</x:v>
      </x:c>
      <x:c r="G84" s="81" t="n">
        <x:f>E84/F84</x:f>
        <x:v>0.002588290133830547</x:v>
      </x:c>
      <x:c r="H84" s="82" t="n">
        <x:v>145.25866976047413</x:v>
      </x:c>
      <x:c r="I84" s="82" t="n">
        <x:v>-37.88898227233001</x:v>
      </x:c>
      <x:c r="J84" s="83" t="n">
        <x:v>113.9114</x:v>
      </x:c>
    </x:row>
    <x:row r="85">
      <x:c r="A85" s="78" t="n">
        <x:v>2021</x:v>
      </x:c>
      <x:c r="B85" s="79" t="str">
        <x:v>45340</x:v>
      </x:c>
      <x:c r="C85" s="18" t="str">
        <x:v>Onkaparinga</x:v>
      </x:c>
      <x:c r="D85" s="18" t="str">
        <x:v>South Australia</x:v>
      </x:c>
      <x:c r="E85" s="80" t="n">
        <x:v>211</x:v>
      </x:c>
      <x:c r="F85" s="80" t="n">
        <x:v>82233</x:v>
      </x:c>
      <x:c r="G85" s="81" t="n">
        <x:f>E85/F85</x:f>
        <x:v>0.0025658798779078958</x:v>
      </x:c>
      <x:c r="H85" s="82" t="n">
        <x:v>138.5688525765077</x:v>
      </x:c>
      <x:c r="I85" s="82" t="n">
        <x:v>-35.17868804535603</x:v>
      </x:c>
      <x:c r="J85" s="83" t="n">
        <x:v>518.1255</x:v>
      </x:c>
    </x:row>
    <x:row r="86">
      <x:c r="A86" s="78" t="n">
        <x:v>2021</x:v>
      </x:c>
      <x:c r="B86" s="79" t="str">
        <x:v>16950</x:v>
      </x:c>
      <x:c r="C86" s="18" t="str">
        <x:v>Shoalhaven</x:v>
      </x:c>
      <x:c r="D86" s="18" t="str">
        <x:v>New South Wales</x:v>
      </x:c>
      <x:c r="E86" s="80" t="n">
        <x:v>210</x:v>
      </x:c>
      <x:c r="F86" s="80" t="n">
        <x:v>42293</x:v>
      </x:c>
      <x:c r="G86" s="81" t="n">
        <x:f>E86/F86</x:f>
        <x:v>0.004965360697987847</x:v>
      </x:c>
      <x:c r="H86" s="82" t="n">
        <x:v>150.3733112992494</x:v>
      </x:c>
      <x:c r="I86" s="82" t="n">
        <x:v>-35.094426717093846</x:v>
      </x:c>
      <x:c r="J86" s="83" t="n">
        <x:v>4567.2011</x:v>
      </x:c>
    </x:row>
    <x:row r="87">
      <x:c r="A87" s="78" t="n">
        <x:v>2021</x:v>
      </x:c>
      <x:c r="B87" s="79" t="str">
        <x:v>62610</x:v>
      </x:c>
      <x:c r="C87" s="18" t="str">
        <x:v>Glenorchy</x:v>
      </x:c>
      <x:c r="D87" s="18" t="str">
        <x:v>Tasmania</x:v>
      </x:c>
      <x:c r="E87" s="80" t="n">
        <x:v>209</x:v>
      </x:c>
      <x:c r="F87" s="80" t="n">
        <x:v>23678</x:v>
      </x:c>
      <x:c r="G87" s="81" t="n">
        <x:f>E87/F87</x:f>
        <x:v>0.008826759016808853</x:v>
      </x:c>
      <x:c r="H87" s="82" t="n">
        <x:v>147.21976827421375</x:v>
      </x:c>
      <x:c r="I87" s="82" t="n">
        <x:v>-42.83933513447095</x:v>
      </x:c>
      <x:c r="J87" s="83" t="n">
        <x:v>121.1632</x:v>
      </x:c>
    </x:row>
    <x:row r="88">
      <x:c r="A88" s="78" t="n">
        <x:v>2021</x:v>
      </x:c>
      <x:c r="B88" s="79" t="str">
        <x:v>50980</x:v>
      </x:c>
      <x:c r="C88" s="18" t="str">
        <x:v>Broome</x:v>
      </x:c>
      <x:c r="D88" s="18" t="str">
        <x:v>Western Australia</x:v>
      </x:c>
      <x:c r="E88" s="80" t="n">
        <x:v>208</x:v>
      </x:c>
      <x:c r="F88" s="80" t="n">
        <x:v>7893</x:v>
      </x:c>
      <x:c r="G88" s="81" t="n">
        <x:f>E88/F88</x:f>
        <x:v>0.0263524642087926</x:v>
      </x:c>
      <x:c r="H88" s="82" t="n">
        <x:v>122.46367962063984</x:v>
      </x:c>
      <x:c r="I88" s="82" t="n">
        <x:v>-18.67021852713942</x:v>
      </x:c>
      <x:c r="J88" s="83" t="n">
        <x:v>54401.8236</x:v>
      </x:c>
    </x:row>
    <x:row r="89">
      <x:c r="A89" s="78" t="n">
        <x:v>2021</x:v>
      </x:c>
      <x:c r="B89" s="79" t="str">
        <x:v>11800</x:v>
      </x:c>
      <x:c r="C89" s="18" t="str">
        <x:v>Coffs Harbour</x:v>
      </x:c>
      <x:c r="D89" s="18" t="str">
        <x:v>New South Wales</x:v>
      </x:c>
      <x:c r="E89" s="80" t="n">
        <x:v>208</x:v>
      </x:c>
      <x:c r="F89" s="80" t="n">
        <x:v>34050</x:v>
      </x:c>
      <x:c r="G89" s="81" t="n">
        <x:f>E89/F89</x:f>
        <x:v>0.006108663729809104</x:v>
      </x:c>
      <x:c r="H89" s="82" t="n">
        <x:v>153.03983456620927</x:v>
      </x:c>
      <x:c r="I89" s="82" t="n">
        <x:v>-30.18903863619502</x:v>
      </x:c>
      <x:c r="J89" s="83" t="n">
        <x:v>1173.7435</x:v>
      </x:c>
    </x:row>
    <x:row r="90">
      <x:c r="A90" s="78" t="n">
        <x:v>2021</x:v>
      </x:c>
      <x:c r="B90" s="79" t="str">
        <x:v>51260</x:v>
      </x:c>
      <x:c r="C90" s="18" t="str">
        <x:v>Busselton</x:v>
      </x:c>
      <x:c r="D90" s="18" t="str">
        <x:v>Western Australia</x:v>
      </x:c>
      <x:c r="E90" s="80" t="n">
        <x:v>207</x:v>
      </x:c>
      <x:c r="F90" s="80" t="n">
        <x:v>18958</x:v>
      </x:c>
      <x:c r="G90" s="81" t="n">
        <x:f>E90/F90</x:f>
        <x:v>0.010918873298871189</x:v>
      </x:c>
      <x:c r="H90" s="82" t="n">
        <x:v>115.34885982140696</x:v>
      </x:c>
      <x:c r="I90" s="82" t="n">
        <x:v>-33.71844401097682</x:v>
      </x:c>
      <x:c r="J90" s="83" t="n">
        <x:v>1454.0509</x:v>
      </x:c>
    </x:row>
    <x:row r="91">
      <x:c r="A91" s="78" t="n">
        <x:v>2021</x:v>
      </x:c>
      <x:c r="B91" s="79" t="str">
        <x:v>22170</x:v>
      </x:c>
      <x:c r="C91" s="18" t="str">
        <x:v>Frankston</x:v>
      </x:c>
      <x:c r="D91" s="18" t="str">
        <x:v>Victoria</x:v>
      </x:c>
      <x:c r="E91" s="80" t="n">
        <x:v>202</x:v>
      </x:c>
      <x:c r="F91" s="80" t="n">
        <x:v>68545</x:v>
      </x:c>
      <x:c r="G91" s="81" t="n">
        <x:f>E91/F91</x:f>
        <x:v>0.0029469691443577213</x:v>
      </x:c>
      <x:c r="H91" s="82" t="n">
        <x:v>145.17379883418388</x:v>
      </x:c>
      <x:c r="I91" s="82" t="n">
        <x:v>-38.13460820169312</x:v>
      </x:c>
      <x:c r="J91" s="83" t="n">
        <x:v>129.5981</x:v>
      </x:c>
    </x:row>
    <x:row r="92">
      <x:c r="A92" s="78" t="n">
        <x:v>2021</x:v>
      </x:c>
      <x:c r="B92" s="79" t="str">
        <x:v>10750</x:v>
      </x:c>
      <x:c r="C92" s="18" t="str">
        <x:v>Blacktown</x:v>
      </x:c>
      <x:c r="D92" s="18" t="str">
        <x:v>New South Wales</x:v>
      </x:c>
      <x:c r="E92" s="80" t="n">
        <x:v>201</x:v>
      </x:c>
      <x:c r="F92" s="80" t="n">
        <x:v>174929</x:v>
      </x:c>
      <x:c r="G92" s="81" t="n">
        <x:f>E92/F92</x:f>
        <x:v>0.0011490376095444437</x:v>
      </x:c>
      <x:c r="H92" s="82" t="n">
        <x:v>150.8640879185916</x:v>
      </x:c>
      <x:c r="I92" s="82" t="n">
        <x:v>-33.74094407957801</x:v>
      </x:c>
      <x:c r="J92" s="83" t="n">
        <x:v>238.8471</x:v>
      </x:c>
    </x:row>
    <x:row r="93">
      <x:c r="A93" s="78" t="n">
        <x:v>2021</x:v>
      </x:c>
      <x:c r="B93" s="79" t="str">
        <x:v>22830</x:v>
      </x:c>
      <x:c r="C93" s="18" t="str">
        <x:v>Greater Shepparton</x:v>
      </x:c>
      <x:c r="D93" s="18" t="str">
        <x:v>Victoria</x:v>
      </x:c>
      <x:c r="E93" s="80" t="n">
        <x:v>200</x:v>
      </x:c>
      <x:c r="F93" s="80" t="n">
        <x:v>30136</x:v>
      </x:c>
      <x:c r="G93" s="81" t="n">
        <x:f>E93/F93</x:f>
        <x:v>0.006636580833554553</x:v>
      </x:c>
      <x:c r="H93" s="82" t="n">
        <x:v>145.38619913192073</x:v>
      </x:c>
      <x:c r="I93" s="82" t="n">
        <x:v>-36.39699453997755</x:v>
      </x:c>
      <x:c r="J93" s="83" t="n">
        <x:v>2421.9092</x:v>
      </x:c>
    </x:row>
    <x:row r="94">
      <x:c r="A94" s="78" t="n">
        <x:v>2021</x:v>
      </x:c>
      <x:c r="B94" s="79" t="str">
        <x:v>36250</x:v>
      </x:c>
      <x:c r="C94" s="18" t="str">
        <x:v>Redland</x:v>
      </x:c>
      <x:c r="D94" s="18" t="str">
        <x:v>Queensland</x:v>
      </x:c>
      <x:c r="E94" s="80" t="n">
        <x:v>200</x:v>
      </x:c>
      <x:c r="F94" s="80" t="n">
        <x:v>76809</x:v>
      </x:c>
      <x:c r="G94" s="81" t="n">
        <x:f>E94/F94</x:f>
        <x:v>0.002603861526644013</x:v>
      </x:c>
      <x:c r="H94" s="82" t="n">
        <x:v>153.36084292059886</x:v>
      </x:c>
      <x:c r="I94" s="82" t="n">
        <x:v>-27.568598484164657</x:v>
      </x:c>
      <x:c r="J94" s="83" t="n">
        <x:v>537.1672</x:v>
      </x:c>
    </x:row>
    <x:row r="95">
      <x:c r="A95" s="78" t="n">
        <x:v>2021</x:v>
      </x:c>
      <x:c r="B95" s="79" t="str">
        <x:v>35740</x:v>
      </x:c>
      <x:c r="C95" s="18" t="str">
        <x:v>Noosa</x:v>
      </x:c>
      <x:c r="D95" s="18" t="str">
        <x:v>Queensland</x:v>
      </x:c>
      <x:c r="E95" s="80" t="n">
        <x:v>196</x:v>
      </x:c>
      <x:c r="F95" s="80" t="n">
        <x:v>24250</x:v>
      </x:c>
      <x:c r="G95" s="81" t="n">
        <x:f>E95/F95</x:f>
        <x:v>0.008082474226804123</x:v>
      </x:c>
      <x:c r="H95" s="82" t="n">
        <x:v>152.9455759680766</x:v>
      </x:c>
      <x:c r="I95" s="82" t="n">
        <x:v>-26.324854213933115</x:v>
      </x:c>
      <x:c r="J95" s="83" t="n">
        <x:v>869.8657</x:v>
      </x:c>
    </x:row>
    <x:row r="96">
      <x:c r="A96" s="78" t="n">
        <x:v>2021</x:v>
      </x:c>
      <x:c r="B96" s="79" t="str">
        <x:v>15950</x:v>
      </x:c>
      <x:c r="C96" s="18" t="str">
        <x:v>North Sydney</x:v>
      </x:c>
      <x:c r="D96" s="18" t="str">
        <x:v>New South Wales</x:v>
      </x:c>
      <x:c r="E96" s="80" t="n">
        <x:v>196</x:v>
      </x:c>
      <x:c r="F96" s="80" t="n">
        <x:v>41183</x:v>
      </x:c>
      <x:c r="G96" s="81" t="n">
        <x:f>E96/F96</x:f>
        <x:v>0.004759245319670738</x:v>
      </x:c>
      <x:c r="H96" s="82" t="n">
        <x:v>151.21186341584084</x:v>
      </x:c>
      <x:c r="I96" s="82" t="n">
        <x:v>-33.83295675029006</x:v>
      </x:c>
      <x:c r="J96" s="83" t="n">
        <x:v>10.491</x:v>
      </x:c>
    </x:row>
    <x:row r="97">
      <x:c r="A97" s="78" t="n">
        <x:v>2021</x:v>
      </x:c>
      <x:c r="B97" s="79" t="str">
        <x:v>58050</x:v>
      </x:c>
      <x:c r="C97" s="18" t="str">
        <x:v>Swan</x:v>
      </x:c>
      <x:c r="D97" s="18" t="str">
        <x:v>Western Australia</x:v>
      </x:c>
      <x:c r="E97" s="80" t="n">
        <x:v>194</x:v>
      </x:c>
      <x:c r="F97" s="80" t="n">
        <x:v>76545</x:v>
      </x:c>
      <x:c r="G97" s="81" t="n">
        <x:f>E97/F97</x:f>
        <x:v>0.00253445685544451</x:v>
      </x:c>
      <x:c r="H97" s="82" t="n">
        <x:v>116.06741255636703</x:v>
      </x:c>
      <x:c r="I97" s="82" t="n">
        <x:v>-31.741277325039718</x:v>
      </x:c>
      <x:c r="J97" s="83" t="n">
        <x:v>1042.9936</x:v>
      </x:c>
    </x:row>
    <x:row r="98">
      <x:c r="A98" s="78" t="n">
        <x:v>2021</x:v>
      </x:c>
      <x:c r="B98" s="79" t="str">
        <x:v>33960</x:v>
      </x:c>
      <x:c r="C98" s="18" t="str">
        <x:v>Ipswich</x:v>
      </x:c>
      <x:c r="D98" s="18" t="str">
        <x:v>Queensland</x:v>
      </x:c>
      <x:c r="E98" s="80" t="n">
        <x:v>193</x:v>
      </x:c>
      <x:c r="F98" s="80" t="n">
        <x:v>104282</x:v>
      </x:c>
      <x:c r="G98" s="81" t="n">
        <x:f>E98/F98</x:f>
        <x:v>0.0018507508486603633</x:v>
      </x:c>
      <x:c r="H98" s="82" t="n">
        <x:v>152.6674626137348</x:v>
      </x:c>
      <x:c r="I98" s="82" t="n">
        <x:v>-27.665615474915075</x:v>
      </x:c>
      <x:c r="J98" s="83" t="n">
        <x:v>1093.8562</x:v>
      </x:c>
    </x:row>
    <x:row r="99">
      <x:c r="A99" s="78" t="n">
        <x:v>2021</x:v>
      </x:c>
      <x:c r="B99" s="79" t="str">
        <x:v>47140</x:v>
      </x:c>
      <x:c r="C99" s="18" t="str">
        <x:v>Salisbury</x:v>
      </x:c>
      <x:c r="D99" s="18" t="str">
        <x:v>South Australia</x:v>
      </x:c>
      <x:c r="E99" s="80" t="n">
        <x:v>192</x:v>
      </x:c>
      <x:c r="F99" s="80" t="n">
        <x:v>63767</x:v>
      </x:c>
      <x:c r="G99" s="81" t="n">
        <x:f>E99/F99</x:f>
        <x:v>0.0030109617827402888</x:v>
      </x:c>
      <x:c r="H99" s="82" t="n">
        <x:v>138.61129931459976</x:v>
      </x:c>
      <x:c r="I99" s="82" t="n">
        <x:v>-34.77265897991358</x:v>
      </x:c>
      <x:c r="J99" s="83" t="n">
        <x:v>159.8432</x:v>
      </x:c>
    </x:row>
    <x:row r="100">
      <x:c r="A100" s="78" t="n">
        <x:v>2021</x:v>
      </x:c>
      <x:c r="B100" s="79" t="str">
        <x:v>40910</x:v>
      </x:c>
      <x:c r="C100" s="18" t="str">
        <x:v>Campbelltown (SA)</x:v>
      </x:c>
      <x:c r="D100" s="18" t="str">
        <x:v>South Australia</x:v>
      </x:c>
      <x:c r="E100" s="80" t="n">
        <x:v>188</x:v>
      </x:c>
      <x:c r="F100" s="80" t="n">
        <x:v>27289</x:v>
      </x:c>
      <x:c r="G100" s="81" t="n">
        <x:f>E100/F100</x:f>
        <x:v>0.006889222763750962</x:v>
      </x:c>
      <x:c r="H100" s="82" t="n">
        <x:v>138.68223368759598</x:v>
      </x:c>
      <x:c r="I100" s="82" t="n">
        <x:v>-34.88372582587801</x:v>
      </x:c>
      <x:c r="J100" s="83" t="n">
        <x:v>24.3485</x:v>
      </x:c>
    </x:row>
    <x:row r="101">
      <x:c r="A101" s="78" t="n">
        <x:v>2021</x:v>
      </x:c>
      <x:c r="B101" s="79" t="str">
        <x:v>64010</x:v>
      </x:c>
      <x:c r="C101" s="18" t="str">
        <x:v>Launceston</x:v>
      </x:c>
      <x:c r="D101" s="18" t="str">
        <x:v>Tasmania</x:v>
      </x:c>
      <x:c r="E101" s="80" t="n">
        <x:v>188</x:v>
      </x:c>
      <x:c r="F101" s="80" t="n">
        <x:v>32465</x:v>
      </x:c>
      <x:c r="G101" s="81" t="n">
        <x:f>E101/F101</x:f>
        <x:v>0.0057908516864315415</x:v>
      </x:c>
      <x:c r="H101" s="82" t="n">
        <x:v>147.3058147234902</x:v>
      </x:c>
      <x:c r="I101" s="82" t="n">
        <x:v>-41.36063424150705</x:v>
      </x:c>
      <x:c r="J101" s="83" t="n">
        <x:v>1413.6306</x:v>
      </x:c>
    </x:row>
    <x:row r="102">
      <x:c r="A102" s="78" t="n">
        <x:v>2021</x:v>
      </x:c>
      <x:c r="B102" s="79" t="str">
        <x:v>21610</x:v>
      </x:c>
      <x:c r="C102" s="18" t="str">
        <x:v>Casey</x:v>
      </x:c>
      <x:c r="D102" s="18" t="str">
        <x:v>Victoria</x:v>
      </x:c>
      <x:c r="E102" s="80" t="n">
        <x:v>185</x:v>
      </x:c>
      <x:c r="F102" s="80" t="n">
        <x:v>173556</x:v>
      </x:c>
      <x:c r="G102" s="81" t="n">
        <x:f>E102/F102</x:f>
        <x:v>0.0010659383714766415</x:v>
      </x:c>
      <x:c r="H102" s="82" t="n">
        <x:v>145.30901094708656</x:v>
      </x:c>
      <x:c r="I102" s="82" t="n">
        <x:v>-38.104350164820616</x:v>
      </x:c>
      <x:c r="J102" s="83" t="n">
        <x:v>409.4287</x:v>
      </x:c>
    </x:row>
    <x:row r="103">
      <x:c r="A103" s="78" t="n">
        <x:v>2021</x:v>
      </x:c>
      <x:c r="B103" s="79" t="str">
        <x:v>12380</x:v>
      </x:c>
      <x:c r="C103" s="18" t="str">
        <x:v>Cumberland</x:v>
      </x:c>
      <x:c r="D103" s="18" t="str">
        <x:v>New South Wales</x:v>
      </x:c>
      <x:c r="E103" s="80" t="n">
        <x:v>184</x:v>
      </x:c>
      <x:c r="F103" s="80" t="n">
        <x:v>86028</x:v>
      </x:c>
      <x:c r="G103" s="81" t="n">
        <x:f>E103/F103</x:f>
        <x:v>0.002138838517691914</x:v>
      </x:c>
      <x:c r="H103" s="82" t="n">
        <x:v>150.98645977813405</x:v>
      </x:c>
      <x:c r="I103" s="82" t="n">
        <x:v>-33.84214952348552</x:v>
      </x:c>
      <x:c r="J103" s="83" t="n">
        <x:v>72.7496</x:v>
      </x:c>
    </x:row>
    <x:row r="104">
      <x:c r="A104" s="78" t="n">
        <x:v>2021</x:v>
      </x:c>
      <x:c r="B104" s="79" t="str">
        <x:v>21180</x:v>
      </x:c>
      <x:c r="C104" s="18" t="str">
        <x:v>Brimbank</x:v>
      </x:c>
      <x:c r="D104" s="18" t="str">
        <x:v>Victoria</x:v>
      </x:c>
      <x:c r="E104" s="80" t="n">
        <x:v>182</x:v>
      </x:c>
      <x:c r="F104" s="80" t="n">
        <x:v>82979</x:v>
      </x:c>
      <x:c r="G104" s="81" t="n">
        <x:f>E104/F104</x:f>
        <x:v>0.0021933260222465924</x:v>
      </x:c>
      <x:c r="H104" s="82" t="n">
        <x:v>144.8033106716938</x:v>
      </x:c>
      <x:c r="I104" s="82" t="n">
        <x:v>-37.74755293580948</x:v>
      </x:c>
      <x:c r="J104" s="83" t="n">
        <x:v>123.3991</x:v>
      </x:c>
    </x:row>
    <x:row r="105">
      <x:c r="A105" s="78" t="n">
        <x:v>2021</x:v>
      </x:c>
      <x:c r="B105" s="79" t="str">
        <x:v>31820</x:v>
      </x:c>
      <x:c r="C105" s="18" t="str">
        <x:v>Bundaberg</x:v>
      </x:c>
      <x:c r="D105" s="18" t="str">
        <x:v>Queensland</x:v>
      </x:c>
      <x:c r="E105" s="80" t="n">
        <x:v>180</x:v>
      </x:c>
      <x:c r="F105" s="80" t="n">
        <x:v>38815</x:v>
      </x:c>
      <x:c r="G105" s="81" t="n">
        <x:f>E105/F105</x:f>
        <x:v>0.004637382455236378</x:v>
      </x:c>
      <x:c r="H105" s="82" t="n">
        <x:v>152.03576686333656</x:v>
      </x:c>
      <x:c r="I105" s="82" t="n">
        <x:v>-24.96781581068734</x:v>
      </x:c>
      <x:c r="J105" s="83" t="n">
        <x:v>6431.0889</x:v>
      </x:c>
    </x:row>
    <x:row r="106">
      <x:c r="A106" s="78" t="n">
        <x:v>2021</x:v>
      </x:c>
      <x:c r="B106" s="79" t="str">
        <x:v>36370</x:v>
      </x:c>
      <x:c r="C106" s="18" t="str">
        <x:v>Rockhampton</x:v>
      </x:c>
      <x:c r="D106" s="18" t="str">
        <x:v>Queensland</x:v>
      </x:c>
      <x:c r="E106" s="80" t="n">
        <x:v>172</x:v>
      </x:c>
      <x:c r="F106" s="80" t="n">
        <x:v>36979</x:v>
      </x:c>
      <x:c r="G106" s="81" t="n">
        <x:f>E106/F106</x:f>
        <x:v>0.004651288569187917</x:v>
      </x:c>
      <x:c r="H106" s="82" t="n">
        <x:v>150.21842065929118</x:v>
      </x:c>
      <x:c r="I106" s="82" t="n">
        <x:v>-23.441143588545</x:v>
      </x:c>
      <x:c r="J106" s="83" t="n">
        <x:v>6570.2667</x:v>
      </x:c>
    </x:row>
    <x:row r="107">
      <x:c r="A107" s="78" t="n">
        <x:v>2021</x:v>
      </x:c>
      <x:c r="B107" s="79" t="str">
        <x:v>61410</x:v>
      </x:c>
      <x:c r="C107" s="18" t="str">
        <x:v>Clarence</x:v>
      </x:c>
      <x:c r="D107" s="18" t="str">
        <x:v>Tasmania</x:v>
      </x:c>
      <x:c r="E107" s="80" t="n">
        <x:v>169</x:v>
      </x:c>
      <x:c r="F107" s="80" t="n">
        <x:v>28997</x:v>
      </x:c>
      <x:c r="G107" s="81" t="n">
        <x:f>E107/F107</x:f>
        <x:v>0.005828189123012725</x:v>
      </x:c>
      <x:c r="H107" s="82" t="n">
        <x:v>147.43413537112747</x:v>
      </x:c>
      <x:c r="I107" s="82" t="n">
        <x:v>-42.837026412825594</x:v>
      </x:c>
      <x:c r="J107" s="83" t="n">
        <x:v>377.9614</x:v>
      </x:c>
    </x:row>
    <x:row r="108">
      <x:c r="A108" s="78" t="n">
        <x:v>2021</x:v>
      </x:c>
      <x:c r="B108" s="79" t="str">
        <x:v>22670</x:v>
      </x:c>
      <x:c r="C108" s="18" t="str">
        <x:v>Greater Dandenong</x:v>
      </x:c>
      <x:c r="D108" s="18" t="str">
        <x:v>Victoria</x:v>
      </x:c>
      <x:c r="E108" s="80" t="n">
        <x:v>169</x:v>
      </x:c>
      <x:c r="F108" s="80" t="n">
        <x:v>67704</x:v>
      </x:c>
      <x:c r="G108" s="81" t="n">
        <x:f>E108/F108</x:f>
        <x:v>0.0024961597542242702</x:v>
      </x:c>
      <x:c r="H108" s="82" t="n">
        <x:v>145.1900091544041</x:v>
      </x:c>
      <x:c r="I108" s="82" t="n">
        <x:v>-38.00558934326358</x:v>
      </x:c>
      <x:c r="J108" s="83" t="n">
        <x:v>129.5466</x:v>
      </x:c>
    </x:row>
    <x:row r="109">
      <x:c r="A109" s="78" t="n">
        <x:v>2021</x:v>
      </x:c>
      <x:c r="B109" s="79" t="str">
        <x:v>24410</x:v>
      </x:c>
      <x:c r="C109" s="18" t="str">
        <x:v>Maroondah</x:v>
      </x:c>
      <x:c r="D109" s="18" t="str">
        <x:v>Victoria</x:v>
      </x:c>
      <x:c r="E109" s="80" t="n">
        <x:v>169</x:v>
      </x:c>
      <x:c r="F109" s="80" t="n">
        <x:v>58987</x:v>
      </x:c>
      <x:c r="G109" s="81" t="n">
        <x:f>E109/F109</x:f>
        <x:v>0.00286503805923339</x:v>
      </x:c>
      <x:c r="H109" s="82" t="n">
        <x:v>145.26526136986502</x:v>
      </x:c>
      <x:c r="I109" s="82" t="n">
        <x:v>-37.80487229683883</x:v>
      </x:c>
      <x:c r="J109" s="83" t="n">
        <x:v>61.4097</x:v>
      </x:c>
    </x:row>
    <x:row r="110">
      <x:c r="A110" s="78" t="n">
        <x:v>2021</x:v>
      </x:c>
      <x:c r="B110" s="79" t="str">
        <x:v>11730</x:v>
      </x:c>
      <x:c r="C110" s="18" t="str">
        <x:v>Clarence Valley</x:v>
      </x:c>
      <x:c r="D110" s="18" t="str">
        <x:v>New South Wales</x:v>
      </x:c>
      <x:c r="E110" s="80" t="n">
        <x:v>168</x:v>
      </x:c>
      <x:c r="F110" s="80" t="n">
        <x:v>19770</x:v>
      </x:c>
      <x:c r="G110" s="81" t="n">
        <x:f>E110/F110</x:f>
        <x:v>0.008497723823975721</x:v>
      </x:c>
      <x:c r="H110" s="82" t="n">
        <x:v>152.7511519976653</x:v>
      </x:c>
      <x:c r="I110" s="82" t="n">
        <x:v>-29.681738081753117</x:v>
      </x:c>
      <x:c r="J110" s="83" t="n">
        <x:v>10428.6804</x:v>
      </x:c>
    </x:row>
    <x:row r="111">
      <x:c r="A111" s="78" t="n">
        <x:v>2021</x:v>
      </x:c>
      <x:c r="B111" s="79" t="str">
        <x:v>26700</x:v>
      </x:c>
      <x:c r="C111" s="18" t="str">
        <x:v>Wangaratta</x:v>
      </x:c>
      <x:c r="D111" s="18" t="str">
        <x:v>Victoria</x:v>
      </x:c>
      <x:c r="E111" s="80" t="n">
        <x:v>167</x:v>
      </x:c>
      <x:c r="F111" s="80" t="n">
        <x:v>14043</x:v>
      </x:c>
      <x:c r="G111" s="81" t="n">
        <x:f>E111/F111</x:f>
        <x:v>0.011892045859146907</x:v>
      </x:c>
      <x:c r="H111" s="82" t="n">
        <x:v>146.42838546379195</x:v>
      </x:c>
      <x:c r="I111" s="82" t="n">
        <x:v>-36.58826891743921</x:v>
      </x:c>
      <x:c r="J111" s="83" t="n">
        <x:v>3645.1096</x:v>
      </x:c>
    </x:row>
    <x:row r="112">
      <x:c r="A112" s="78" t="n">
        <x:v>2021</x:v>
      </x:c>
      <x:c r="B112" s="79" t="str">
        <x:v>26810</x:v>
      </x:c>
      <x:c r="C112" s="18" t="str">
        <x:v>Wellington</x:v>
      </x:c>
      <x:c r="D112" s="18" t="str">
        <x:v>Victoria</x:v>
      </x:c>
      <x:c r="E112" s="80" t="n">
        <x:v>166</x:v>
      </x:c>
      <x:c r="F112" s="80" t="n">
        <x:v>19315</x:v>
      </x:c>
      <x:c r="G112" s="81" t="n">
        <x:f>E112/F112</x:f>
        <x:v>0.008594356717577013</x:v>
      </x:c>
      <x:c r="H112" s="82" t="n">
        <x:v>146.91935321398879</x:v>
      </x:c>
      <x:c r="I112" s="82" t="n">
        <x:v>-37.8943517390763</x:v>
      </x:c>
      <x:c r="J112" s="83" t="n">
        <x:v>10817.4231</x:v>
      </x:c>
    </x:row>
    <x:row r="113">
      <x:c r="A113" s="78" t="n">
        <x:v>2021</x:v>
      </x:c>
      <x:c r="B113" s="79" t="str">
        <x:v>11520</x:v>
      </x:c>
      <x:c r="C113" s="18" t="str">
        <x:v>Canada Bay</x:v>
      </x:c>
      <x:c r="D113" s="18" t="str">
        <x:v>New South Wales</x:v>
      </x:c>
      <x:c r="E113" s="80" t="n">
        <x:v>164</x:v>
      </x:c>
      <x:c r="F113" s="80" t="n">
        <x:v>46315</x:v>
      </x:c>
      <x:c r="G113" s="81" t="n">
        <x:f>E113/F113</x:f>
        <x:v>0.0035409694483428695</x:v>
      </x:c>
      <x:c r="H113" s="82" t="n">
        <x:v>151.11482537925932</x:v>
      </x:c>
      <x:c r="I113" s="82" t="n">
        <x:v>-33.85349796201659</x:v>
      </x:c>
      <x:c r="J113" s="83" t="n">
        <x:v>19.9239</x:v>
      </x:c>
    </x:row>
    <x:row r="114">
      <x:c r="A114" s="78" t="n">
        <x:v>2021</x:v>
      </x:c>
      <x:c r="B114" s="79" t="str">
        <x:v>53800</x:v>
      </x:c>
      <x:c r="C114" s="18" t="str">
        <x:v>Greater Geraldton</x:v>
      </x:c>
      <x:c r="D114" s="18" t="str">
        <x:v>Western Australia</x:v>
      </x:c>
      <x:c r="E114" s="80" t="n">
        <x:v>163</x:v>
      </x:c>
      <x:c r="F114" s="80" t="n">
        <x:v>17963</x:v>
      </x:c>
      <x:c r="G114" s="81" t="n">
        <x:f>E114/F114</x:f>
        <x:v>0.0090742080944163</x:v>
      </x:c>
      <x:c r="H114" s="82" t="n">
        <x:v>115.49714848511528</x:v>
      </x:c>
      <x:c r="I114" s="82" t="n">
        <x:v>-28.561547869273294</x:v>
      </x:c>
      <x:c r="J114" s="83" t="n">
        <x:v>9909.0002</x:v>
      </x:c>
    </x:row>
    <x:row r="115">
      <x:c r="A115" s="78" t="n">
        <x:v>2021</x:v>
      </x:c>
      <x:c r="B115" s="79" t="str">
        <x:v>47700</x:v>
      </x:c>
      <x:c r="C115" s="18" t="str">
        <x:v>Tea Tree Gully</x:v>
      </x:c>
      <x:c r="D115" s="18" t="str">
        <x:v>South Australia</x:v>
      </x:c>
      <x:c r="E115" s="80" t="n">
        <x:v>162</x:v>
      </x:c>
      <x:c r="F115" s="80" t="n">
        <x:v>50516</x:v>
      </x:c>
      <x:c r="G115" s="81" t="n">
        <x:f>E115/F115</x:f>
        <x:v>0.0032069047430517065</x:v>
      </x:c>
      <x:c r="H115" s="82" t="n">
        <x:v>138.71804096198636</x:v>
      </x:c>
      <x:c r="I115" s="82" t="n">
        <x:v>-34.80516160681939</x:v>
      </x:c>
      <x:c r="J115" s="83" t="n">
        <x:v>95.2109</x:v>
      </x:c>
    </x:row>
    <x:row r="116">
      <x:c r="A116" s="78" t="n">
        <x:v>2021</x:v>
      </x:c>
      <x:c r="B116" s="79" t="str">
        <x:v>18500</x:v>
      </x:c>
      <x:c r="C116" s="18" t="str">
        <x:v>Woollahra</x:v>
      </x:c>
      <x:c r="D116" s="18" t="str">
        <x:v>New South Wales</x:v>
      </x:c>
      <x:c r="E116" s="80" t="n">
        <x:v>159</x:v>
      </x:c>
      <x:c r="F116" s="80" t="n">
        <x:v>28230</x:v>
      </x:c>
      <x:c r="G116" s="81" t="n">
        <x:f>E116/F116</x:f>
        <x:v>0.0056323060573857595</x:v>
      </x:c>
      <x:c r="H116" s="82" t="n">
        <x:v>151.2573924445563</x:v>
      </x:c>
      <x:c r="I116" s="82" t="n">
        <x:v>-33.87169558053204</x:v>
      </x:c>
      <x:c r="J116" s="83" t="n">
        <x:v>12.2584</x:v>
      </x:c>
    </x:row>
    <x:row r="117">
      <x:c r="A117" s="78" t="n">
        <x:v>2021</x:v>
      </x:c>
      <x:c r="B117" s="79" t="str">
        <x:v>57490</x:v>
      </x:c>
      <x:c r="C117" s="18" t="str">
        <x:v>Rockingham</x:v>
      </x:c>
      <x:c r="D117" s="18" t="str">
        <x:v>Western Australia</x:v>
      </x:c>
      <x:c r="E117" s="80" t="n">
        <x:v>157</x:v>
      </x:c>
      <x:c r="F117" s="80" t="n">
        <x:v>63025</x:v>
      </x:c>
      <x:c r="G117" s="81" t="n">
        <x:f>E117/F117</x:f>
        <x:v>0.0024910749702499006</x:v>
      </x:c>
      <x:c r="H117" s="82" t="n">
        <x:v>115.78899679922937</x:v>
      </x:c>
      <x:c r="I117" s="82" t="n">
        <x:v>-32.344182528158186</x:v>
      </x:c>
      <x:c r="J117" s="83" t="n">
        <x:v>257.4979</x:v>
      </x:c>
    </x:row>
    <x:row r="118">
      <x:c r="A118" s="78" t="n">
        <x:v>2021</x:v>
      </x:c>
      <x:c r="B118" s="79" t="str">
        <x:v>58760</x:v>
      </x:c>
      <x:c r="C118" s="18" t="str">
        <x:v>Wanneroo</x:v>
      </x:c>
      <x:c r="D118" s="18" t="str">
        <x:v>Western Australia</x:v>
      </x:c>
      <x:c r="E118" s="80" t="n">
        <x:v>157</x:v>
      </x:c>
      <x:c r="F118" s="80" t="n">
        <x:v>104601</x:v>
      </x:c>
      <x:c r="G118" s="81" t="n">
        <x:f>E118/F118</x:f>
        <x:v>0.0015009416735977668</x:v>
      </x:c>
      <x:c r="H118" s="82" t="n">
        <x:v>115.76294915800904</x:v>
      </x:c>
      <x:c r="I118" s="82" t="n">
        <x:v>-31.611764852980663</x:v>
      </x:c>
      <x:c r="J118" s="83" t="n">
        <x:v>683.2602</x:v>
      </x:c>
    </x:row>
    <x:row r="119">
      <x:c r="A119" s="78" t="n">
        <x:v>2021</x:v>
      </x:c>
      <x:c r="B119" s="79" t="str">
        <x:v>16700</x:v>
      </x:c>
      <x:c r="C119" s="18" t="str">
        <x:v>Ryde</x:v>
      </x:c>
      <x:c r="D119" s="18" t="str">
        <x:v>New South Wales</x:v>
      </x:c>
      <x:c r="E119" s="80" t="n">
        <x:v>153</x:v>
      </x:c>
      <x:c r="F119" s="80" t="n">
        <x:v>65564</x:v>
      </x:c>
      <x:c r="G119" s="81" t="n">
        <x:f>E119/F119</x:f>
        <x:v>0.0023335977060582025</x:v>
      </x:c>
      <x:c r="H119" s="82" t="n">
        <x:v>151.11056235435424</x:v>
      </x:c>
      <x:c r="I119" s="82" t="n">
        <x:v>-33.79913878293866</x:v>
      </x:c>
      <x:c r="J119" s="83" t="n">
        <x:v>40.4746</x:v>
      </x:c>
    </x:row>
    <x:row r="120">
      <x:c r="A120" s="78" t="n">
        <x:v>2021</x:v>
      </x:c>
      <x:c r="B120" s="79" t="str">
        <x:v>27070</x:v>
      </x:c>
      <x:c r="C120" s="18" t="str">
        <x:v>Whittlesea</x:v>
      </x:c>
      <x:c r="D120" s="18" t="str">
        <x:v>Victoria</x:v>
      </x:c>
      <x:c r="E120" s="80" t="n">
        <x:v>150</x:v>
      </x:c>
      <x:c r="F120" s="80" t="n">
        <x:v>107055</x:v>
      </x:c>
      <x:c r="G120" s="81" t="n">
        <x:f>E120/F120</x:f>
        <x:v>0.0014011489421325487</x:v>
      </x:c>
      <x:c r="H120" s="82" t="n">
        <x:v>145.07769265526966</x:v>
      </x:c>
      <x:c r="I120" s="82" t="n">
        <x:v>-37.547212487689926</x:v>
      </x:c>
      <x:c r="J120" s="83" t="n">
        <x:v>489.6938</x:v>
      </x:c>
    </x:row>
    <x:row r="121">
      <x:c r="A121" s="78" t="n">
        <x:v>2021</x:v>
      </x:c>
      <x:c r="B121" s="79" t="str">
        <x:v>26730</x:v>
      </x:c>
      <x:c r="C121" s="18" t="str">
        <x:v>Warrnambool</x:v>
      </x:c>
      <x:c r="D121" s="18" t="str">
        <x:v>Victoria</x:v>
      </x:c>
      <x:c r="E121" s="80" t="n">
        <x:v>146</x:v>
      </x:c>
      <x:c r="F121" s="80" t="n">
        <x:v>17305</x:v>
      </x:c>
      <x:c r="G121" s="81" t="n">
        <x:f>E121/F121</x:f>
        <x:v>0.008436867957237793</x:v>
      </x:c>
      <x:c r="H121" s="82" t="n">
        <x:v>142.51181385384712</x:v>
      </x:c>
      <x:c r="I121" s="82" t="n">
        <x:v>-38.37144384549345</x:v>
      </x:c>
      <x:c r="J121" s="83" t="n">
        <x:v>120.9487</x:v>
      </x:c>
    </x:row>
    <x:row r="122">
      <x:c r="A122" s="78" t="n">
        <x:v>2021</x:v>
      </x:c>
      <x:c r="B122" s="79" t="str">
        <x:v>14900</x:v>
      </x:c>
      <x:c r="C122" s="18" t="str">
        <x:v>Liverpool</x:v>
      </x:c>
      <x:c r="D122" s="18" t="str">
        <x:v>New South Wales</x:v>
      </x:c>
      <x:c r="E122" s="80" t="n">
        <x:v>145</x:v>
      </x:c>
      <x:c r="F122" s="80" t="n">
        <x:v>89955</x:v>
      </x:c>
      <x:c r="G122" s="81" t="n">
        <x:f>E122/F122</x:f>
        <x:v>0.001611917069645934</x:v>
      </x:c>
      <x:c r="H122" s="82" t="n">
        <x:v>150.8252070416872</x:v>
      </x:c>
      <x:c r="I122" s="82" t="n">
        <x:v>-33.9359710535929</x:v>
      </x:c>
      <x:c r="J122" s="83" t="n">
        <x:v>305.7401</x:v>
      </x:c>
    </x:row>
    <x:row r="123">
      <x:c r="A123" s="78" t="n">
        <x:v>2021</x:v>
      </x:c>
      <x:c r="B123" s="79" t="str">
        <x:v>50490</x:v>
      </x:c>
      <x:c r="C123" s="18" t="str">
        <x:v>Belmont</x:v>
      </x:c>
      <x:c r="D123" s="18" t="str">
        <x:v>Western Australia</x:v>
      </x:c>
      <x:c r="E123" s="80" t="n">
        <x:v>144</x:v>
      </x:c>
      <x:c r="F123" s="80" t="n">
        <x:v>21968</x:v>
      </x:c>
      <x:c r="G123" s="81" t="n">
        <x:f>E123/F123</x:f>
        <x:v>0.0065549890750182084</x:v>
      </x:c>
      <x:c r="H123" s="82" t="n">
        <x:v>115.94831781928066</x:v>
      </x:c>
      <x:c r="I123" s="82" t="n">
        <x:v>-31.95623367226922</x:v>
      </x:c>
      <x:c r="J123" s="83" t="n">
        <x:v>39.8246</x:v>
      </x:c>
    </x:row>
    <x:row r="124">
      <x:c r="A124" s="78" t="n">
        <x:v>2021</x:v>
      </x:c>
      <x:c r="B124" s="79" t="str">
        <x:v>21370</x:v>
      </x:c>
      <x:c r="C124" s="18" t="str">
        <x:v>Campaspe</x:v>
      </x:c>
      <x:c r="D124" s="18" t="str">
        <x:v>Victoria</x:v>
      </x:c>
      <x:c r="E124" s="80" t="n">
        <x:v>142</x:v>
      </x:c>
      <x:c r="F124" s="80" t="n">
        <x:v>17368</x:v>
      </x:c>
      <x:c r="G124" s="81" t="n">
        <x:f>E124/F124</x:f>
        <x:v>0.0081759557807462</x:v>
      </x:c>
      <x:c r="H124" s="82" t="n">
        <x:v>144.7164126424921</x:v>
      </x:c>
      <x:c r="I124" s="82" t="n">
        <x:v>-36.345178833900185</x:v>
      </x:c>
      <x:c r="J124" s="83" t="n">
        <x:v>4519.073</x:v>
      </x:c>
    </x:row>
    <x:row r="125">
      <x:c r="A125" s="78" t="n">
        <x:v>2021</x:v>
      </x:c>
      <x:c r="B125" s="79" t="str">
        <x:v>33360</x:v>
      </x:c>
      <x:c r="C125" s="18" t="str">
        <x:v>Gladstone</x:v>
      </x:c>
      <x:c r="D125" s="18" t="str">
        <x:v>Queensland</x:v>
      </x:c>
      <x:c r="E125" s="80" t="n">
        <x:v>138</x:v>
      </x:c>
      <x:c r="F125" s="80" t="n">
        <x:v>28565</x:v>
      </x:c>
      <x:c r="G125" s="81" t="n">
        <x:f>E125/F125</x:f>
        <x:v>0.004831086994573779</x:v>
      </x:c>
      <x:c r="H125" s="82" t="n">
        <x:v>151.3070308293487</x:v>
      </x:c>
      <x:c r="I125" s="82" t="n">
        <x:v>-24.176323199751067</x:v>
      </x:c>
      <x:c r="J125" s="83" t="n">
        <x:v>10484.2861</x:v>
      </x:c>
    </x:row>
    <x:row r="126">
      <x:c r="A126" s="78" t="n">
        <x:v>2021</x:v>
      </x:c>
      <x:c r="B126" s="79" t="str">
        <x:v>53780</x:v>
      </x:c>
      <x:c r="C126" s="18" t="str">
        <x:v>Gosnells</x:v>
      </x:c>
      <x:c r="D126" s="18" t="str">
        <x:v>Western Australia</x:v>
      </x:c>
      <x:c r="E126" s="80" t="n">
        <x:v>136</x:v>
      </x:c>
      <x:c r="F126" s="80" t="n">
        <x:v>58391</x:v>
      </x:c>
      <x:c r="G126" s="81" t="n">
        <x:f>E126/F126</x:f>
        <x:v>0.0023291260639482112</x:v>
      </x:c>
      <x:c r="H126" s="82" t="n">
        <x:v>115.99213678292598</x:v>
      </x:c>
      <x:c r="I126" s="82" t="n">
        <x:v>-32.0662317842254</x:v>
      </x:c>
      <x:c r="J126" s="83" t="n">
        <x:v>127.2976</x:v>
      </x:c>
    </x:row>
    <x:row r="127">
      <x:c r="A127" s="78" t="n">
        <x:v>2021</x:v>
      </x:c>
      <x:c r="B127" s="79" t="str">
        <x:v>17750</x:v>
      </x:c>
      <x:c r="C127" s="18" t="str">
        <x:v>Wagga Wagga</x:v>
      </x:c>
      <x:c r="D127" s="18" t="str">
        <x:v>New South Wales</x:v>
      </x:c>
      <x:c r="E127" s="80" t="n">
        <x:v>136</x:v>
      </x:c>
      <x:c r="F127" s="80" t="n">
        <x:v>33283</x:v>
      </x:c>
      <x:c r="G127" s="81" t="n">
        <x:f>E127/F127</x:f>
        <x:v>0.004086170116876483</x:v>
      </x:c>
      <x:c r="H127" s="82" t="n">
        <x:v>147.36635092081806</x:v>
      </x:c>
      <x:c r="I127" s="82" t="n">
        <x:v>-35.19661668322811</x:v>
      </x:c>
      <x:c r="J127" s="83" t="n">
        <x:v>4824.4888</x:v>
      </x:c>
    </x:row>
    <x:row r="128">
      <x:c r="A128" s="78" t="n">
        <x:v>2021</x:v>
      </x:c>
      <x:c r="B128" s="79" t="str">
        <x:v>27170</x:v>
      </x:c>
      <x:c r="C128" s="18" t="str">
        <x:v>Wodonga</x:v>
      </x:c>
      <x:c r="D128" s="18" t="str">
        <x:v>Victoria</x:v>
      </x:c>
      <x:c r="E128" s="80" t="n">
        <x:v>136</x:v>
      </x:c>
      <x:c r="F128" s="80" t="n">
        <x:v>20689</x:v>
      </x:c>
      <x:c r="G128" s="81" t="n">
        <x:f>E128/F128</x:f>
        <x:v>0.00657354149548069</x:v>
      </x:c>
      <x:c r="H128" s="82" t="n">
        <x:v>146.88261002241663</x:v>
      </x:c>
      <x:c r="I128" s="82" t="n">
        <x:v>-36.15050356952736</x:v>
      </x:c>
      <x:c r="J128" s="83" t="n">
        <x:v>433.0021</x:v>
      </x:c>
    </x:row>
    <x:row r="129">
      <x:c r="A129" s="78" t="n">
        <x:v>2021</x:v>
      </x:c>
      <x:c r="B129" s="79" t="str">
        <x:v>63610</x:v>
      </x:c>
      <x:c r="C129" s="18" t="str">
        <x:v>Kingborough</x:v>
      </x:c>
      <x:c r="D129" s="18" t="str">
        <x:v>Tasmania</x:v>
      </x:c>
      <x:c r="E129" s="80" t="n">
        <x:v>133</x:v>
      </x:c>
      <x:c r="F129" s="80" t="n">
        <x:v>19444</x:v>
      </x:c>
      <x:c r="G129" s="81" t="n">
        <x:f>E129/F129</x:f>
        <x:v>0.006840156346430776</x:v>
      </x:c>
      <x:c r="H129" s="82" t="n">
        <x:v>147.26233466685525</x:v>
      </x:c>
      <x:c r="I129" s="82" t="n">
        <x:v>-43.18919829118731</x:v>
      </x:c>
      <x:c r="J129" s="83" t="n">
        <x:v>720.1093</x:v>
      </x:c>
    </x:row>
    <x:row r="130">
      <x:c r="A130" s="78" t="n">
        <x:v>2021</x:v>
      </x:c>
      <x:c r="B130" s="79" t="str">
        <x:v>16350</x:v>
      </x:c>
      <x:c r="C130" s="18" t="str">
        <x:v>Penrith</x:v>
      </x:c>
      <x:c r="D130" s="18" t="str">
        <x:v>New South Wales</x:v>
      </x:c>
      <x:c r="E130" s="80" t="n">
        <x:v>133</x:v>
      </x:c>
      <x:c r="F130" s="80" t="n">
        <x:v>102094</x:v>
      </x:c>
      <x:c r="G130" s="81" t="n">
        <x:f>E130/F130</x:f>
        <x:v>0.001302721021803436</x:v>
      </x:c>
      <x:c r="H130" s="82" t="n">
        <x:v>150.71807055194898</x:v>
      </x:c>
      <x:c r="I130" s="82" t="n">
        <x:v>-33.765372296806774</x:v>
      </x:c>
      <x:c r="J130" s="83" t="n">
        <x:v>404.7021</x:v>
      </x:c>
    </x:row>
    <x:row r="131">
      <x:c r="A131" s="78" t="n">
        <x:v>2021</x:v>
      </x:c>
      <x:c r="B131" s="79" t="str">
        <x:v>51190</x:v>
      </x:c>
      <x:c r="C131" s="18" t="str">
        <x:v>Bunbury</x:v>
      </x:c>
      <x:c r="D131" s="18" t="str">
        <x:v>Western Australia</x:v>
      </x:c>
      <x:c r="E131" s="80" t="n">
        <x:v>130</x:v>
      </x:c>
      <x:c r="F131" s="80" t="n">
        <x:v>14644</x:v>
      </x:c>
      <x:c r="G131" s="81" t="n">
        <x:f>E131/F131</x:f>
        <x:v>0.008877355913684786</x:v>
      </x:c>
      <x:c r="H131" s="82" t="n">
        <x:v>115.66439399268324</x:v>
      </x:c>
      <x:c r="I131" s="82" t="n">
        <x:v>-33.351646552107155</x:v>
      </x:c>
      <x:c r="J131" s="83" t="n">
        <x:v>65.4163</x:v>
      </x:c>
    </x:row>
    <x:row r="132">
      <x:c r="A132" s="78" t="n">
        <x:v>2021</x:v>
      </x:c>
      <x:c r="B132" s="79" t="str">
        <x:v>37340</x:v>
      </x:c>
      <x:c r="C132" s="18" t="str">
        <x:v>Whitsunday</x:v>
      </x:c>
      <x:c r="D132" s="18" t="str">
        <x:v>Queensland</x:v>
      </x:c>
      <x:c r="E132" s="80" t="n">
        <x:v>130</x:v>
      </x:c>
      <x:c r="F132" s="80" t="n">
        <x:v>17965</x:v>
      </x:c>
      <x:c r="G132" s="81" t="n">
        <x:f>E132/F132</x:f>
        <x:v>0.007236292791539103</x:v>
      </x:c>
      <x:c r="H132" s="82" t="n">
        <x:v>147.72470041011883</x:v>
      </x:c>
      <x:c r="I132" s="82" t="n">
        <x:v>-20.70093975813244</x:v>
      </x:c>
      <x:c r="J132" s="83" t="n">
        <x:v>23818.9729</x:v>
      </x:c>
    </x:row>
    <x:row r="133">
      <x:c r="A133" s="78" t="n">
        <x:v>2021</x:v>
      </x:c>
      <x:c r="B133" s="79" t="str">
        <x:v>18250</x:v>
      </x:c>
      <x:c r="C133" s="18" t="str">
        <x:v>Willoughby</x:v>
      </x:c>
      <x:c r="D133" s="18" t="str">
        <x:v>New South Wales</x:v>
      </x:c>
      <x:c r="E133" s="80" t="n">
        <x:v>129</x:v>
      </x:c>
      <x:c r="F133" s="80" t="n">
        <x:v>37312</x:v>
      </x:c>
      <x:c r="G133" s="81" t="n">
        <x:f>E133/F133</x:f>
        <x:v>0.0034573327615780446</x:v>
      </x:c>
      <x:c r="H133" s="82" t="n">
        <x:v>151.1963703307877</x:v>
      </x:c>
      <x:c r="I133" s="82" t="n">
        <x:v>-33.80109835194603</x:v>
      </x:c>
      <x:c r="J133" s="83" t="n">
        <x:v>22.4257</x:v>
      </x:c>
    </x:row>
    <x:row r="134">
      <x:c r="A134" s="78" t="n">
        <x:v>2021</x:v>
      </x:c>
      <x:c r="B134" s="79" t="str">
        <x:v>32810</x:v>
      </x:c>
      <x:c r="C134" s="18" t="str">
        <x:v>Douglas</x:v>
      </x:c>
      <x:c r="D134" s="18" t="str">
        <x:v>Queensland</x:v>
      </x:c>
      <x:c r="E134" s="80" t="n">
        <x:v>128</x:v>
      </x:c>
      <x:c r="F134" s="80" t="n">
        <x:v>5797</x:v>
      </x:c>
      <x:c r="G134" s="81" t="n">
        <x:f>E134/F134</x:f>
        <x:v>0.022080386406762118</x:v>
      </x:c>
      <x:c r="H134" s="82" t="n">
        <x:v>145.2866967872571</x:v>
      </x:c>
      <x:c r="I134" s="82" t="n">
        <x:v>-16.22204082395099</x:v>
      </x:c>
      <x:c r="J134" s="83" t="n">
        <x:v>2427.8626</x:v>
      </x:c>
    </x:row>
    <x:row r="135">
      <x:c r="A135" s="78" t="n">
        <x:v>2021</x:v>
      </x:c>
      <x:c r="B135" s="79" t="str">
        <x:v>72200</x:v>
      </x:c>
      <x:c r="C135" s="18" t="str">
        <x:v>Katherine</x:v>
      </x:c>
      <x:c r="D135" s="18" t="str">
        <x:v>Northern Territory</x:v>
      </x:c>
      <x:c r="E135" s="80" t="n">
        <x:v>127</x:v>
      </x:c>
      <x:c r="F135" s="80" t="n">
        <x:v>4486</x:v>
      </x:c>
      <x:c r="G135" s="81" t="n">
        <x:f>E135/F135</x:f>
        <x:v>0.028310298707088722</x:v>
      </x:c>
      <x:c r="H135" s="82" t="n">
        <x:v>132.19508198123273</x:v>
      </x:c>
      <x:c r="I135" s="82" t="n">
        <x:v>-14.690172694875622</x:v>
      </x:c>
      <x:c r="J135" s="83" t="n">
        <x:v>7416.6444</x:v>
      </x:c>
    </x:row>
    <x:row r="136">
      <x:c r="A136" s="78" t="n">
        <x:v>2021</x:v>
      </x:c>
      <x:c r="B136" s="79" t="str">
        <x:v>16380</x:v>
      </x:c>
      <x:c r="C136" s="18" t="str">
        <x:v>Port Macquarie-Hastings</x:v>
      </x:c>
      <x:c r="D136" s="18" t="str">
        <x:v>New South Wales</x:v>
      </x:c>
      <x:c r="E136" s="80" t="n">
        <x:v>127</x:v>
      </x:c>
      <x:c r="F136" s="80" t="n">
        <x:v>35597</x:v>
      </x:c>
      <x:c r="G136" s="81" t="n">
        <x:f>E136/F136</x:f>
        <x:v>0.00356771638059387</x:v>
      </x:c>
      <x:c r="H136" s="82" t="n">
        <x:v>152.53121092941393</x:v>
      </x:c>
      <x:c r="I136" s="82" t="n">
        <x:v>-31.4097604734717</x:v>
      </x:c>
      <x:c r="J136" s="83" t="n">
        <x:v>3682.3915</x:v>
      </x:c>
    </x:row>
    <x:row r="137">
      <x:c r="A137" s="78" t="n">
        <x:v>2021</x:v>
      </x:c>
      <x:c r="B137" s="79" t="str">
        <x:v>27450</x:v>
      </x:c>
      <x:c r="C137" s="18" t="str">
        <x:v>Yarra Ranges</x:v>
      </x:c>
      <x:c r="D137" s="18" t="str">
        <x:v>Victoria</x:v>
      </x:c>
      <x:c r="E137" s="80" t="n">
        <x:v>126</x:v>
      </x:c>
      <x:c r="F137" s="80" t="n">
        <x:v>79903</x:v>
      </x:c>
      <x:c r="G137" s="81" t="n">
        <x:f>E137/F137</x:f>
        <x:v>0.001576912005807041</x:v>
      </x:c>
      <x:c r="H137" s="82" t="n">
        <x:v>145.69703661581318</x:v>
      </x:c>
      <x:c r="I137" s="82" t="n">
        <x:v>-37.714276369093795</x:v>
      </x:c>
      <x:c r="J137" s="83" t="n">
        <x:v>2468.2052</x:v>
      </x:c>
    </x:row>
    <x:row r="138">
      <x:c r="A138" s="78" t="n">
        <x:v>2021</x:v>
      </x:c>
      <x:c r="B138" s="79" t="str">
        <x:v>23270</x:v>
      </x:c>
      <x:c r="C138" s="18" t="str">
        <x:v>Hume</x:v>
      </x:c>
      <x:c r="D138" s="18" t="str">
        <x:v>Victoria</x:v>
      </x:c>
      <x:c r="E138" s="80" t="n">
        <x:v>124</x:v>
      </x:c>
      <x:c r="F138" s="80" t="n">
        <x:v>102892</x:v>
      </x:c>
      <x:c r="G138" s="81" t="n">
        <x:f>E138/F138</x:f>
        <x:v>0.0012051471445787816</x:v>
      </x:c>
      <x:c r="H138" s="82" t="n">
        <x:v>144.8245342720813</x:v>
      </x:c>
      <x:c r="I138" s="82" t="n">
        <x:v>-37.58918223676446</x:v>
      </x:c>
      <x:c r="J138" s="83" t="n">
        <x:v>503.8488</x:v>
      </x:c>
    </x:row>
    <x:row r="139">
      <x:c r="A139" s="78" t="n">
        <x:v>2021</x:v>
      </x:c>
      <x:c r="B139" s="79" t="str">
        <x:v>51750</x:v>
      </x:c>
      <x:c r="C139" s="18" t="str">
        <x:v>Claremont</x:v>
      </x:c>
      <x:c r="D139" s="18" t="str">
        <x:v>Western Australia</x:v>
      </x:c>
      <x:c r="E139" s="80" t="n">
        <x:v>122</x:v>
      </x:c>
      <x:c r="F139" s="80" t="n">
        <x:v>5382</x:v>
      </x:c>
      <x:c r="G139" s="81" t="n">
        <x:f>E139/F139</x:f>
        <x:v>0.022668153102935712</x:v>
      </x:c>
      <x:c r="H139" s="82" t="n">
        <x:v>115.77997603480127</x:v>
      </x:c>
      <x:c r="I139" s="82" t="n">
        <x:v>-31.98014910027058</x:v>
      </x:c>
      <x:c r="J139" s="83" t="n">
        <x:v>4.9554</x:v>
      </x:c>
    </x:row>
    <x:row r="140">
      <x:c r="A140" s="78" t="n">
        <x:v>2021</x:v>
      </x:c>
      <x:c r="B140" s="79" t="str">
        <x:v>16490</x:v>
      </x:c>
      <x:c r="C140" s="18" t="str">
        <x:v>Queanbeyan-Palerang Regional</x:v>
      </x:c>
      <x:c r="D140" s="18" t="str">
        <x:v>New South Wales</x:v>
      </x:c>
      <x:c r="E140" s="80" t="n">
        <x:v>121</x:v>
      </x:c>
      <x:c r="F140" s="80" t="n">
        <x:v>34789</x:v>
      </x:c>
      <x:c r="G140" s="81" t="n">
        <x:f>E140/F140</x:f>
        <x:v>0.003478110897122654</x:v>
      </x:c>
      <x:c r="H140" s="82" t="n">
        <x:v>149.6271711235136</x:v>
      </x:c>
      <x:c r="I140" s="82" t="n">
        <x:v>-35.42275461416198</x:v>
      </x:c>
      <x:c r="J140" s="83" t="n">
        <x:v>5319.0075</x:v>
      </x:c>
    </x:row>
    <x:row r="141">
      <x:c r="A141" s="78" t="n">
        <x:v>2021</x:v>
      </x:c>
      <x:c r="B141" s="79" t="str">
        <x:v>20740</x:v>
      </x:c>
      <x:c r="C141" s="18" t="str">
        <x:v>Bass Coast</x:v>
      </x:c>
      <x:c r="D141" s="18" t="str">
        <x:v>Victoria</x:v>
      </x:c>
      <x:c r="E141" s="80" t="n">
        <x:v>119</x:v>
      </x:c>
      <x:c r="F141" s="80" t="n">
        <x:v>16498</x:v>
      </x:c>
      <x:c r="G141" s="81" t="n">
        <x:f>E141/F141</x:f>
        <x:v>0.007212995514607831</x:v>
      </x:c>
      <x:c r="H141" s="82" t="n">
        <x:v>145.55805565257404</x:v>
      </x:c>
      <x:c r="I141" s="82" t="n">
        <x:v>-38.507288616032206</x:v>
      </x:c>
      <x:c r="J141" s="83" t="n">
        <x:v>865.8094</x:v>
      </x:c>
    </x:row>
    <x:row r="142">
      <x:c r="A142" s="78" t="n">
        <x:v>2021</x:v>
      </x:c>
      <x:c r="B142" s="79" t="str">
        <x:v>26490</x:v>
      </x:c>
      <x:c r="C142" s="18" t="str">
        <x:v>Surf Coast</x:v>
      </x:c>
      <x:c r="D142" s="18" t="str">
        <x:v>Victoria</x:v>
      </x:c>
      <x:c r="E142" s="80" t="n">
        <x:v>109</x:v>
      </x:c>
      <x:c r="F142" s="80" t="n">
        <x:v>18769</x:v>
      </x:c>
      <x:c r="G142" s="81" t="n">
        <x:f>E142/F142</x:f>
        <x:v>0.005807448452235069</x:v>
      </x:c>
      <x:c r="H142" s="82" t="n">
        <x:v>144.05312205519985</x:v>
      </x:c>
      <x:c r="I142" s="82" t="n">
        <x:v>-38.31230179312163</x:v>
      </x:c>
      <x:c r="J142" s="83" t="n">
        <x:v>1552.944</x:v>
      </x:c>
    </x:row>
    <x:row r="143">
      <x:c r="A143" s="78" t="n">
        <x:v>2021</x:v>
      </x:c>
      <x:c r="B143" s="79" t="str">
        <x:v>15240</x:v>
      </x:c>
      <x:c r="C143" s="18" t="str">
        <x:v>Mid-Coast</x:v>
      </x:c>
      <x:c r="D143" s="18" t="str">
        <x:v>New South Wales</x:v>
      </x:c>
      <x:c r="E143" s="80" t="n">
        <x:v>108</x:v>
      </x:c>
      <x:c r="F143" s="80" t="n">
        <x:v>34019</x:v>
      </x:c>
      <x:c r="G143" s="81" t="n">
        <x:f>E143/F143</x:f>
        <x:v>0.0031746964931361884</x:v>
      </x:c>
      <x:c r="H143" s="82" t="n">
        <x:v>152.09575779816578</x:v>
      </x:c>
      <x:c r="I143" s="82" t="n">
        <x:v>-32.015315792576736</x:v>
      </x:c>
      <x:c r="J143" s="83" t="n">
        <x:v>10053.8633</x:v>
      </x:c>
    </x:row>
    <x:row r="144">
      <x:c r="A144" s="78" t="n">
        <x:v>2021</x:v>
      </x:c>
      <x:c r="B144" s="79" t="str">
        <x:v>14500</x:v>
      </x:c>
      <x:c r="C144" s="18" t="str">
        <x:v>Ku-ring-gai</x:v>
      </x:c>
      <x:c r="D144" s="18" t="str">
        <x:v>New South Wales</x:v>
      </x:c>
      <x:c r="E144" s="80" t="n">
        <x:v>107</x:v>
      </x:c>
      <x:c r="F144" s="80" t="n">
        <x:v>58583</x:v>
      </x:c>
      <x:c r="G144" s="81" t="n">
        <x:f>E144/F144</x:f>
        <x:v>0.0018264684294078486</x:v>
      </x:c>
      <x:c r="H144" s="82" t="n">
        <x:v>151.15090824405107</x:v>
      </x:c>
      <x:c r="I144" s="82" t="n">
        <x:v>-33.734610198965164</x:v>
      </x:c>
      <x:c r="J144" s="83" t="n">
        <x:v>85.4093</x:v>
      </x:c>
    </x:row>
    <x:row r="145">
      <x:c r="A145" s="78" t="n">
        <x:v>2021</x:v>
      </x:c>
      <x:c r="B145" s="79" t="str">
        <x:v>24780</x:v>
      </x:c>
      <x:c r="C145" s="18" t="str">
        <x:v>Mildura</x:v>
      </x:c>
      <x:c r="D145" s="18" t="str">
        <x:v>Victoria</x:v>
      </x:c>
      <x:c r="E145" s="80" t="n">
        <x:v>107</x:v>
      </x:c>
      <x:c r="F145" s="80" t="n">
        <x:v>25101</x:v>
      </x:c>
      <x:c r="G145" s="81" t="n">
        <x:f>E145/F145</x:f>
        <x:v>0.004262778375363531</x:v>
      </x:c>
      <x:c r="H145" s="82" t="n">
        <x:v>141.68287646335872</x:v>
      </x:c>
      <x:c r="I145" s="82" t="n">
        <x:v>-34.869231159267905</x:v>
      </x:c>
      <x:c r="J145" s="83" t="n">
        <x:v>22081.9206</x:v>
      </x:c>
    </x:row>
    <x:row r="146">
      <x:c r="A146" s="78" t="n">
        <x:v>2021</x:v>
      </x:c>
      <x:c r="B146" s="79" t="str">
        <x:v>25430</x:v>
      </x:c>
      <x:c r="C146" s="18" t="str">
        <x:v>Mount Alexander</x:v>
      </x:c>
      <x:c r="D146" s="18" t="str">
        <x:v>Victoria</x:v>
      </x:c>
      <x:c r="E146" s="80" t="n">
        <x:v>104</x:v>
      </x:c>
      <x:c r="F146" s="80" t="n">
        <x:v>8570</x:v>
      </x:c>
      <x:c r="G146" s="81" t="n">
        <x:f>E146/F146</x:f>
        <x:v>0.012135355892648775</x:v>
      </x:c>
      <x:c r="H146" s="82" t="n">
        <x:v>144.19293669854125</x:v>
      </x:c>
      <x:c r="I146" s="82" t="n">
        <x:v>-37.05079024479563</x:v>
      </x:c>
      <x:c r="J146" s="83" t="n">
        <x:v>1529.6183</x:v>
      </x:c>
    </x:row>
    <x:row r="147">
      <x:c r="A147" s="78" t="n">
        <x:v>2021</x:v>
      </x:c>
      <x:c r="B147" s="79" t="str">
        <x:v>79399</x:v>
      </x:c>
      <x:c r="C147" s="18" t="str">
        <x:v>Unincorporated NT</x:v>
      </x:c>
      <x:c r="D147" s="18" t="str">
        <x:v>Northern Territory</x:v>
      </x:c>
      <x:c r="E147" s="80" t="n">
        <x:v>104</x:v>
      </x:c>
      <x:c r="F147" s="80" t="n">
        <x:v>3334</x:v>
      </x:c>
      <x:c r="G147" s="81" t="n">
        <x:f>E147/F147</x:f>
        <x:v>0.03119376124775045</x:v>
      </x:c>
      <x:c r="H147" s="82" t="n">
        <x:v>131.18717545323</x:v>
      </x:c>
      <x:c r="I147" s="82" t="n">
        <x:v>-13.112364306913136</x:v>
      </x:c>
      <x:c r="J147" s="83" t="n">
        <x:v>19792.8884</x:v>
      </x:c>
    </x:row>
    <x:row r="148">
      <x:c r="A148" s="78" t="n">
        <x:v>2021</x:v>
      </x:c>
      <x:c r="B148" s="79" t="str">
        <x:v>14000</x:v>
      </x:c>
      <x:c r="C148" s="18" t="str">
        <x:v>Hornsby</x:v>
      </x:c>
      <x:c r="D148" s="18" t="str">
        <x:v>New South Wales</x:v>
      </x:c>
      <x:c r="E148" s="80" t="n">
        <x:v>103</x:v>
      </x:c>
      <x:c r="F148" s="80" t="n">
        <x:v>74803</x:v>
      </x:c>
      <x:c r="G148" s="81" t="n">
        <x:f>E148/F148</x:f>
        <x:v>0.0013769501223212972</x:v>
      </x:c>
      <x:c r="H148" s="82" t="n">
        <x:v>151.08941418367732</x:v>
      </x:c>
      <x:c r="I148" s="82" t="n">
        <x:v>-33.58393043784151</x:v>
      </x:c>
      <x:c r="J148" s="83" t="n">
        <x:v>455.0374</x:v>
      </x:c>
    </x:row>
    <x:row r="149">
      <x:c r="A149" s="78" t="n">
        <x:v>2021</x:v>
      </x:c>
      <x:c r="B149" s="79" t="str">
        <x:v>24900</x:v>
      </x:c>
      <x:c r="C149" s="18" t="str">
        <x:v>Moira</x:v>
      </x:c>
      <x:c r="D149" s="18" t="str">
        <x:v>Victoria</x:v>
      </x:c>
      <x:c r="E149" s="80" t="n">
        <x:v>102</x:v>
      </x:c>
      <x:c r="F149" s="80" t="n">
        <x:v>12870</x:v>
      </x:c>
      <x:c r="G149" s="81" t="n">
        <x:f>E149/F149</x:f>
        <x:v>0.007925407925407926</x:v>
      </x:c>
      <x:c r="H149" s="82" t="n">
        <x:v>145.55035321392288</x:v>
      </x:c>
      <x:c r="I149" s="82" t="n">
        <x:v>-36.06190585461231</x:v>
      </x:c>
      <x:c r="J149" s="83" t="n">
        <x:v>4045.9201</x:v>
      </x:c>
    </x:row>
    <x:row r="150">
      <x:c r="A150" s="78" t="n">
        <x:v>2021</x:v>
      </x:c>
      <x:c r="B150" s="79" t="str">
        <x:v>72800</x:v>
      </x:c>
      <x:c r="C150" s="18" t="str">
        <x:v>Palmerston</x:v>
      </x:c>
      <x:c r="D150" s="18" t="str">
        <x:v>Northern Territory</x:v>
      </x:c>
      <x:c r="E150" s="80" t="n">
        <x:v>102</x:v>
      </x:c>
      <x:c r="F150" s="80" t="n">
        <x:v>19262</x:v>
      </x:c>
      <x:c r="G150" s="81" t="n">
        <x:f>E150/F150</x:f>
        <x:v>0.005295400269961582</x:v>
      </x:c>
      <x:c r="H150" s="82" t="n">
        <x:v>130.97917679234206</x:v>
      </x:c>
      <x:c r="I150" s="82" t="n">
        <x:v>-12.502519412749843</x:v>
      </x:c>
      <x:c r="J150" s="83" t="n">
        <x:v>52.6559</x:v>
      </x:c>
    </x:row>
    <x:row r="151">
      <x:c r="A151" s="78" t="n">
        <x:v>2021</x:v>
      </x:c>
      <x:c r="B151" s="79" t="str">
        <x:v>22110</x:v>
      </x:c>
      <x:c r="C151" s="18" t="str">
        <x:v>East Gippsland</x:v>
      </x:c>
      <x:c r="D151" s="18" t="str">
        <x:v>Victoria</x:v>
      </x:c>
      <x:c r="E151" s="80" t="n">
        <x:v>100</x:v>
      </x:c>
      <x:c r="F151" s="80" t="n">
        <x:v>19190</x:v>
      </x:c>
      <x:c r="G151" s="81" t="n">
        <x:f>E151/F151</x:f>
        <x:v>0.005211047420531527</x:v>
      </x:c>
      <x:c r="H151" s="82" t="n">
        <x:v>148.29168937668695</x:v>
      </x:c>
      <x:c r="I151" s="82" t="n">
        <x:v>-37.37803841928031</x:v>
      </x:c>
      <x:c r="J151" s="83" t="n">
        <x:v>20939.5016</x:v>
      </x:c>
    </x:row>
    <x:row r="152">
      <x:c r="A152" s="78" t="n">
        <x:v>2021</x:v>
      </x:c>
      <x:c r="B152" s="79" t="str">
        <x:v>12850</x:v>
      </x:c>
      <x:c r="C152" s="18" t="str">
        <x:v>Fairfield</x:v>
      </x:c>
      <x:c r="D152" s="18" t="str">
        <x:v>New South Wales</x:v>
      </x:c>
      <x:c r="E152" s="80" t="n">
        <x:v>98</x:v>
      </x:c>
      <x:c r="F152" s="80" t="n">
        <x:v>63831</x:v>
      </x:c>
      <x:c r="G152" s="81" t="n">
        <x:f>E152/F152</x:f>
        <x:v>0.0015353041625542447</x:v>
      </x:c>
      <x:c r="H152" s="82" t="n">
        <x:v>150.8954167895798</x:v>
      </x:c>
      <x:c r="I152" s="82" t="n">
        <x:v>-33.865634422486835</x:v>
      </x:c>
      <x:c r="J152" s="83" t="n">
        <x:v>101.5072</x:v>
      </x:c>
    </x:row>
    <x:row r="153">
      <x:c r="A153" s="78" t="n">
        <x:v>2021</x:v>
      </x:c>
      <x:c r="B153" s="79" t="str">
        <x:v>14700</x:v>
      </x:c>
      <x:c r="C153" s="18" t="str">
        <x:v>Lane Cove</x:v>
      </x:c>
      <x:c r="D153" s="18" t="str">
        <x:v>New South Wales</x:v>
      </x:c>
      <x:c r="E153" s="80" t="n">
        <x:v>98</x:v>
      </x:c>
      <x:c r="F153" s="80" t="n">
        <x:v>21836</x:v>
      </x:c>
      <x:c r="G153" s="81" t="n">
        <x:f>E153/F153</x:f>
        <x:v>0.004488001465469866</x:v>
      </x:c>
      <x:c r="H153" s="82" t="n">
        <x:v>151.1668944653718</x:v>
      </x:c>
      <x:c r="I153" s="82" t="n">
        <x:v>-33.8199933201472</x:v>
      </x:c>
      <x:c r="J153" s="83" t="n">
        <x:v>10.4789</x:v>
      </x:c>
    </x:row>
    <x:row r="154">
      <x:c r="A154" s="78" t="n">
        <x:v>2021</x:v>
      </x:c>
      <x:c r="B154" s="79" t="str">
        <x:v>50280</x:v>
      </x:c>
      <x:c r="C154" s="18" t="str">
        <x:v>Augusta Margaret River</x:v>
      </x:c>
      <x:c r="D154" s="18" t="str">
        <x:v>Western Australia</x:v>
      </x:c>
      <x:c r="E154" s="80" t="n">
        <x:v>96</x:v>
      </x:c>
      <x:c r="F154" s="80" t="n">
        <x:v>8297</x:v>
      </x:c>
      <x:c r="G154" s="81" t="n">
        <x:f>E154/F154</x:f>
        <x:v>0.011570447149572135</x:v>
      </x:c>
      <x:c r="H154" s="82" t="n">
        <x:v>115.22779052513586</x:v>
      </x:c>
      <x:c r="I154" s="82" t="n">
        <x:v>-34.03087722853661</x:v>
      </x:c>
      <x:c r="J154" s="83" t="n">
        <x:v>2122.375</x:v>
      </x:c>
    </x:row>
    <x:row r="155">
      <x:c r="A155" s="78" t="n">
        <x:v>2021</x:v>
      </x:c>
      <x:c r="B155" s="79" t="str">
        <x:v>12930</x:v>
      </x:c>
      <x:c r="C155" s="18" t="str">
        <x:v>Georges River</x:v>
      </x:c>
      <x:c r="D155" s="18" t="str">
        <x:v>New South Wales</x:v>
      </x:c>
      <x:c r="E155" s="80" t="n">
        <x:v>96</x:v>
      </x:c>
      <x:c r="F155" s="80" t="n">
        <x:v>70462</x:v>
      </x:c>
      <x:c r="G155" s="81" t="n">
        <x:f>E155/F155</x:f>
        <x:v>0.001362436490590673</x:v>
      </x:c>
      <x:c r="H155" s="82" t="n">
        <x:v>151.0863581672737</x:v>
      </x:c>
      <x:c r="I155" s="82" t="n">
        <x:v>-33.97103151822295</x:v>
      </x:c>
      <x:c r="J155" s="83" t="n">
        <x:v>38.3375</x:v>
      </x:c>
    </x:row>
    <x:row r="156">
      <x:c r="A156" s="78" t="n">
        <x:v>2021</x:v>
      </x:c>
      <x:c r="B156" s="79" t="str">
        <x:v>12750</x:v>
      </x:c>
      <x:c r="C156" s="18" t="str">
        <x:v>Eurobodalla</x:v>
      </x:c>
      <x:c r="D156" s="18" t="str">
        <x:v>New South Wales</x:v>
      </x:c>
      <x:c r="E156" s="80" t="n">
        <x:v>95</x:v>
      </x:c>
      <x:c r="F156" s="80" t="n">
        <x:v>15097</x:v>
      </x:c>
      <x:c r="G156" s="81" t="n">
        <x:f>E156/F156</x:f>
        <x:v>0.006292640922037491</x:v>
      </x:c>
      <x:c r="H156" s="82" t="n">
        <x:v>149.94704940014978</x:v>
      </x:c>
      <x:c r="I156" s="82" t="n">
        <x:v>-35.94515650940863</x:v>
      </x:c>
      <x:c r="J156" s="83" t="n">
        <x:v>3428.1695</x:v>
      </x:c>
    </x:row>
    <x:row r="157">
      <x:c r="A157" s="78" t="n">
        <x:v>2021</x:v>
      </x:c>
      <x:c r="B157" s="79" t="str">
        <x:v>55110</x:v>
      </x:c>
      <x:c r="C157" s="18" t="str">
        <x:v>Mandurah</x:v>
      </x:c>
      <x:c r="D157" s="18" t="str">
        <x:v>Western Australia</x:v>
      </x:c>
      <x:c r="E157" s="80" t="n">
        <x:v>95</x:v>
      </x:c>
      <x:c r="F157" s="80" t="n">
        <x:v>36163</x:v>
      </x:c>
      <x:c r="G157" s="81" t="n">
        <x:f>E157/F157</x:f>
        <x:v>0.0026269944418328126</x:v>
      </x:c>
      <x:c r="H157" s="82" t="n">
        <x:v>115.68292402090842</x:v>
      </x:c>
      <x:c r="I157" s="82" t="n">
        <x:v>-32.63379594728227</x:v>
      </x:c>
      <x:c r="J157" s="83" t="n">
        <x:v>174.8968</x:v>
      </x:c>
    </x:row>
    <x:row r="158">
      <x:c r="A158" s="78" t="n">
        <x:v>2021</x:v>
      </x:c>
      <x:c r="B158" s="79" t="str">
        <x:v>48540</x:v>
      </x:c>
      <x:c r="C158" s="18" t="str">
        <x:v>Whyalla</x:v>
      </x:c>
      <x:c r="D158" s="18" t="str">
        <x:v>South Australia</x:v>
      </x:c>
      <x:c r="E158" s="80" t="n">
        <x:v>95</x:v>
      </x:c>
      <x:c r="F158" s="80" t="n">
        <x:v>8870</x:v>
      </x:c>
      <x:c r="G158" s="81" t="n">
        <x:f>E158/F158</x:f>
        <x:v>0.010710259301014656</x:v>
      </x:c>
      <x:c r="H158" s="82" t="n">
        <x:v>137.49433685716966</x:v>
      </x:c>
      <x:c r="I158" s="82" t="n">
        <x:v>-33.03731912541942</x:v>
      </x:c>
      <x:c r="J158" s="83" t="n">
        <x:v>1071.3397</x:v>
      </x:c>
    </x:row>
    <x:row r="159">
      <x:c r="A159" s="78" t="n">
        <x:v>2021</x:v>
      </x:c>
      <x:c r="B159" s="79" t="str">
        <x:v>23190</x:v>
      </x:c>
      <x:c r="C159" s="18" t="str">
        <x:v>Horsham</x:v>
      </x:c>
      <x:c r="D159" s="18" t="str">
        <x:v>Victoria</x:v>
      </x:c>
      <x:c r="E159" s="80" t="n">
        <x:v>94</x:v>
      </x:c>
      <x:c r="F159" s="80" t="n">
        <x:v>9857</x:v>
      </x:c>
      <x:c r="G159" s="81" t="n">
        <x:f>E159/F159</x:f>
        <x:v>0.009536370092320178</x:v>
      </x:c>
      <x:c r="H159" s="82" t="n">
        <x:v>142.0904501001238</x:v>
      </x:c>
      <x:c r="I159" s="82" t="n">
        <x:v>-36.8257452387652</x:v>
      </x:c>
      <x:c r="J159" s="83" t="n">
        <x:v>4266.769</x:v>
      </x:c>
    </x:row>
    <x:row r="160">
      <x:c r="A160" s="78" t="n">
        <x:v>2021</x:v>
      </x:c>
      <x:c r="B160" s="79" t="str">
        <x:v>53360</x:v>
      </x:c>
      <x:c r="C160" s="18" t="str">
        <x:v>Exmouth</x:v>
      </x:c>
      <x:c r="D160" s="18" t="str">
        <x:v>Western Australia</x:v>
      </x:c>
      <x:c r="E160" s="80" t="n">
        <x:v>93</x:v>
      </x:c>
      <x:c r="F160" s="80" t="n">
        <x:v>1733</x:v>
      </x:c>
      <x:c r="G160" s="81" t="n">
        <x:f>E160/F160</x:f>
        <x:v>0.05366416618580496</x:v>
      </x:c>
      <x:c r="H160" s="82" t="n">
        <x:v>114.16701126965948</x:v>
      </x:c>
      <x:c r="I160" s="82" t="n">
        <x:v>-22.521690039843467</x:v>
      </x:c>
      <x:c r="J160" s="83" t="n">
        <x:v>6488.2097</x:v>
      </x:c>
    </x:row>
    <x:row r="161">
      <x:c r="A161" s="78" t="n">
        <x:v>2021</x:v>
      </x:c>
      <x:c r="B161" s="79" t="str">
        <x:v>12390</x:v>
      </x:c>
      <x:c r="C161" s="18" t="str">
        <x:v>Dubbo Regional</x:v>
      </x:c>
      <x:c r="D161" s="18" t="str">
        <x:v>New South Wales</x:v>
      </x:c>
      <x:c r="E161" s="80" t="n">
        <x:v>91</x:v>
      </x:c>
      <x:c r="F161" s="80" t="n">
        <x:v>25386</x:v>
      </x:c>
      <x:c r="G161" s="81" t="n">
        <x:f>E161/F161</x:f>
        <x:v>0.0035846529583234855</x:v>
      </x:c>
      <x:c r="H161" s="82" t="n">
        <x:v>148.85441083743314</x:v>
      </x:c>
      <x:c r="I161" s="82" t="n">
        <x:v>-32.42471665155412</x:v>
      </x:c>
      <x:c r="J161" s="83" t="n">
        <x:v>7534.5251</x:v>
      </x:c>
    </x:row>
    <x:row r="162">
      <x:c r="A162" s="78" t="n">
        <x:v>2021</x:v>
      </x:c>
      <x:c r="B162" s="79" t="str">
        <x:v>50080</x:v>
      </x:c>
      <x:c r="C162" s="18" t="str">
        <x:v>Albany</x:v>
      </x:c>
      <x:c r="D162" s="18" t="str">
        <x:v>Western Australia</x:v>
      </x:c>
      <x:c r="E162" s="80" t="n">
        <x:v>90</x:v>
      </x:c>
      <x:c r="F162" s="80" t="n">
        <x:v>17599</x:v>
      </x:c>
      <x:c r="G162" s="81" t="n">
        <x:f>E162/F162</x:f>
        <x:v>0.005113926927666344</x:v>
      </x:c>
      <x:c r="H162" s="82" t="n">
        <x:v>118.18257430542776</x:v>
      </x:c>
      <x:c r="I162" s="82" t="n">
        <x:v>-34.739131571548484</x:v>
      </x:c>
      <x:c r="J162" s="83" t="n">
        <x:v>4308.458</x:v>
      </x:c>
    </x:row>
    <x:row r="163">
      <x:c r="A163" s="78" t="n">
        <x:v>2021</x:v>
      </x:c>
      <x:c r="B163" s="79" t="str">
        <x:v>17420</x:v>
      </x:c>
      <x:c r="C163" s="18" t="str">
        <x:v>The Hills Shire</x:v>
      </x:c>
      <x:c r="D163" s="18" t="str">
        <x:v>New South Wales</x:v>
      </x:c>
      <x:c r="E163" s="80" t="n">
        <x:v>89</x:v>
      </x:c>
      <x:c r="F163" s="80" t="n">
        <x:v>96477</x:v>
      </x:c>
      <x:c r="G163" s="81" t="n">
        <x:f>E163/F163</x:f>
        <x:v>0.0009224996631321455</x:v>
      </x:c>
      <x:c r="H163" s="82" t="n">
        <x:v>150.9620340839574</x:v>
      </x:c>
      <x:c r="I163" s="82" t="n">
        <x:v>-33.5882605418692</x:v>
      </x:c>
      <x:c r="J163" s="83" t="n">
        <x:v>386.1583</x:v>
      </x:c>
    </x:row>
    <x:row r="164">
      <x:c r="A164" s="78" t="n">
        <x:v>2021</x:v>
      </x:c>
      <x:c r="B164" s="79" t="str">
        <x:v>52170</x:v>
      </x:c>
      <x:c r="C164" s="18" t="str">
        <x:v>Cottesloe</x:v>
      </x:c>
      <x:c r="D164" s="18" t="str">
        <x:v>Western Australia</x:v>
      </x:c>
      <x:c r="E164" s="80" t="n">
        <x:v>88</x:v>
      </x:c>
      <x:c r="F164" s="80" t="n">
        <x:v>4120</x:v>
      </x:c>
      <x:c r="G164" s="81" t="n">
        <x:f>E164/F164</x:f>
        <x:v>0.021359223300970873</x:v>
      </x:c>
      <x:c r="H164" s="82" t="n">
        <x:v>115.75849614976453</x:v>
      </x:c>
      <x:c r="I164" s="82" t="n">
        <x:v>-31.994003254378534</x:v>
      </x:c>
      <x:c r="J164" s="83" t="n">
        <x:v>3.8564</x:v>
      </x:c>
    </x:row>
    <x:row r="165">
      <x:c r="A165" s="78" t="n">
        <x:v>2021</x:v>
      </x:c>
      <x:c r="B165" s="79" t="str">
        <x:v>20110</x:v>
      </x:c>
      <x:c r="C165" s="18" t="str">
        <x:v>Alpine</x:v>
      </x:c>
      <x:c r="D165" s="18" t="str">
        <x:v>Victoria</x:v>
      </x:c>
      <x:c r="E165" s="80" t="n">
        <x:v>84</x:v>
      </x:c>
      <x:c r="F165" s="80" t="n">
        <x:v>6320</x:v>
      </x:c>
      <x:c r="G165" s="81" t="n">
        <x:f>E165/F165</x:f>
        <x:v>0.013291139240506329</x:v>
      </x:c>
      <x:c r="H165" s="82" t="n">
        <x:v>146.97417160466256</x:v>
      </x:c>
      <x:c r="I165" s="82" t="n">
        <x:v>-36.8535688630915</x:v>
      </x:c>
      <x:c r="J165" s="83" t="n">
        <x:v>4788.157</x:v>
      </x:c>
    </x:row>
    <x:row r="166">
      <x:c r="A166" s="78" t="n">
        <x:v>2021</x:v>
      </x:c>
      <x:c r="B166" s="79" t="str">
        <x:v>48260</x:v>
      </x:c>
      <x:c r="C166" s="18" t="str">
        <x:v>Walkerville</x:v>
      </x:c>
      <x:c r="D166" s="18" t="str">
        <x:v>South Australia</x:v>
      </x:c>
      <x:c r="E166" s="80" t="n">
        <x:v>83</x:v>
      </x:c>
      <x:c r="F166" s="80" t="n">
        <x:v>3914</x:v>
      </x:c>
      <x:c r="G166" s="81" t="n">
        <x:f>E166/F166</x:f>
        <x:v>0.02120592743995912</x:v>
      </x:c>
      <x:c r="H166" s="82" t="n">
        <x:v>138.6171090629685</x:v>
      </x:c>
      <x:c r="I166" s="82" t="n">
        <x:v>-34.89278572298345</x:v>
      </x:c>
      <x:c r="J166" s="83" t="n">
        <x:v>3.53</x:v>
      </x:c>
    </x:row>
    <x:row r="167">
      <x:c r="A167" s="78" t="n">
        <x:v>2021</x:v>
      </x:c>
      <x:c r="B167" s="79" t="str">
        <x:v>37310</x:v>
      </x:c>
      <x:c r="C167" s="18" t="str">
        <x:v>Western Downs</x:v>
      </x:c>
      <x:c r="D167" s="18" t="str">
        <x:v>Queensland</x:v>
      </x:c>
      <x:c r="E167" s="80" t="n">
        <x:v>83</x:v>
      </x:c>
      <x:c r="F167" s="80" t="n">
        <x:v>15105</x:v>
      </x:c>
      <x:c r="G167" s="81" t="n">
        <x:f>E167/F167</x:f>
        <x:v>0.005494869248593181</x:v>
      </x:c>
      <x:c r="H167" s="82" t="n">
        <x:v>150.3476556709441</x:v>
      </x:c>
      <x:c r="I167" s="82" t="n">
        <x:v>-26.841775892407245</x:v>
      </x:c>
      <x:c r="J167" s="83" t="n">
        <x:v>37922.5007</x:v>
      </x:c>
    </x:row>
    <x:row r="168">
      <x:c r="A168" s="78" t="n">
        <x:v>2021</x:v>
      </x:c>
      <x:c r="B168" s="79" t="str">
        <x:v>45680</x:v>
      </x:c>
      <x:c r="C168" s="18" t="str">
        <x:v>Playford</x:v>
      </x:c>
      <x:c r="D168" s="18" t="str">
        <x:v>South Australia</x:v>
      </x:c>
      <x:c r="E168" s="80" t="n">
        <x:v>82</x:v>
      </x:c>
      <x:c r="F168" s="80" t="n">
        <x:v>39609</x:v>
      </x:c>
      <x:c r="G168" s="81" t="n">
        <x:f>E168/F168</x:f>
        <x:v>0.002070236562397435</x:v>
      </x:c>
      <x:c r="H168" s="82" t="n">
        <x:v>138.66296659895238</x:v>
      </x:c>
      <x:c r="I168" s="82" t="n">
        <x:v>-34.68888929014179</x:v>
      </x:c>
      <x:c r="J168" s="83" t="n">
        <x:v>345.2038</x:v>
      </x:c>
    </x:row>
    <x:row r="169">
      <x:c r="A169" s="78" t="n">
        <x:v>2021</x:v>
      </x:c>
      <x:c r="B169" s="79" t="str">
        <x:v>54280</x:v>
      </x:c>
      <x:c r="C169" s="18" t="str">
        <x:v>Kalgoorlie-Boulder</x:v>
      </x:c>
      <x:c r="D169" s="18" t="str">
        <x:v>Western Australia</x:v>
      </x:c>
      <x:c r="E169" s="80" t="n">
        <x:v>80</x:v>
      </x:c>
      <x:c r="F169" s="80" t="n">
        <x:v>15298</x:v>
      </x:c>
      <x:c r="G169" s="81" t="n">
        <x:f>E169/F169</x:f>
        <x:v>0.00522944175709243</x:v>
      </x:c>
      <x:c r="H169" s="82" t="n">
        <x:v>125.05131965996489</x:v>
      </x:c>
      <x:c r="I169" s="82" t="n">
        <x:v>-30.749421894630913</x:v>
      </x:c>
      <x:c r="J169" s="83" t="n">
        <x:v>95500.292</x:v>
      </x:c>
    </x:row>
    <x:row r="170">
      <x:c r="A170" s="78" t="n">
        <x:v>2021</x:v>
      </x:c>
      <x:c r="B170" s="79" t="str">
        <x:v>50210</x:v>
      </x:c>
      <x:c r="C170" s="18" t="str">
        <x:v>Armadale</x:v>
      </x:c>
      <x:c r="D170" s="18" t="str">
        <x:v>Western Australia</x:v>
      </x:c>
      <x:c r="E170" s="80" t="n">
        <x:v>79</x:v>
      </x:c>
      <x:c r="F170" s="80" t="n">
        <x:v>44453</x:v>
      </x:c>
      <x:c r="G170" s="81" t="n">
        <x:f>E170/F170</x:f>
        <x:v>0.0017771578971048072</x:v>
      </x:c>
      <x:c r="H170" s="82" t="n">
        <x:v>116.13697809074989</x:v>
      </x:c>
      <x:c r="I170" s="82" t="n">
        <x:v>-32.16753197333187</x:v>
      </x:c>
      <x:c r="J170" s="83" t="n">
        <x:v>559.5258</x:v>
      </x:c>
    </x:row>
    <x:row r="171">
      <x:c r="A171" s="78" t="n">
        <x:v>2021</x:v>
      </x:c>
      <x:c r="B171" s="79" t="str">
        <x:v>32260</x:v>
      </x:c>
      <x:c r="C171" s="18" t="str">
        <x:v>Cassowary Coast</x:v>
      </x:c>
      <x:c r="D171" s="18" t="str">
        <x:v>Queensland</x:v>
      </x:c>
      <x:c r="E171" s="80" t="n">
        <x:v>78</x:v>
      </x:c>
      <x:c r="F171" s="80" t="n">
        <x:v>12329</x:v>
      </x:c>
      <x:c r="G171" s="81" t="n">
        <x:f>E171/F171</x:f>
        <x:v>0.006326547165220213</x:v>
      </x:c>
      <x:c r="H171" s="82" t="n">
        <x:v>145.92597236754764</x:v>
      </x:c>
      <x:c r="I171" s="82" t="n">
        <x:v>-17.95955139275902</x:v>
      </x:c>
      <x:c r="J171" s="83" t="n">
        <x:v>4687.824</x:v>
      </x:c>
    </x:row>
    <x:row r="172">
      <x:c r="A172" s="78" t="n">
        <x:v>2021</x:v>
      </x:c>
      <x:c r="B172" s="79" t="str">
        <x:v>14850</x:v>
      </x:c>
      <x:c r="C172" s="18" t="str">
        <x:v>Lismore</x:v>
      </x:c>
      <x:c r="D172" s="18" t="str">
        <x:v>New South Wales</x:v>
      </x:c>
      <x:c r="E172" s="80" t="n">
        <x:v>78</x:v>
      </x:c>
      <x:c r="F172" s="80" t="n">
        <x:v>20045</x:v>
      </x:c>
      <x:c r="G172" s="81" t="n">
        <x:f>E172/F172</x:f>
        <x:v>0.003891244699426291</x:v>
      </x:c>
      <x:c r="H172" s="82" t="n">
        <x:v>153.27065551180885</x:v>
      </x:c>
      <x:c r="I172" s="82" t="n">
        <x:v>-28.75617469927633</x:v>
      </x:c>
      <x:c r="J172" s="83" t="n">
        <x:v>1287.7042</x:v>
      </x:c>
    </x:row>
    <x:row r="173">
      <x:c r="A173" s="78" t="n">
        <x:v>2021</x:v>
      </x:c>
      <x:c r="B173" s="79" t="str">
        <x:v>50350</x:v>
      </x:c>
      <x:c r="C173" s="18" t="str">
        <x:v>Bassendean</x:v>
      </x:c>
      <x:c r="D173" s="18" t="str">
        <x:v>Western Australia</x:v>
      </x:c>
      <x:c r="E173" s="80" t="n">
        <x:v>76</x:v>
      </x:c>
      <x:c r="F173" s="80" t="n">
        <x:v>8098</x:v>
      </x:c>
      <x:c r="G173" s="81" t="n">
        <x:f>E173/F173</x:f>
        <x:v>0.009385033341565818</x:v>
      </x:c>
      <x:c r="H173" s="82" t="n">
        <x:v>115.94522098008514</x:v>
      </x:c>
      <x:c r="I173" s="82" t="n">
        <x:v>-31.90384750325053</x:v>
      </x:c>
      <x:c r="J173" s="83" t="n">
        <x:v>10.3449</x:v>
      </x:c>
    </x:row>
    <x:row r="174">
      <x:c r="A174" s="78" t="n">
        <x:v>2021</x:v>
      </x:c>
      <x:c r="B174" s="79" t="str">
        <x:v>11500</x:v>
      </x:c>
      <x:c r="C174" s="18" t="str">
        <x:v>Campbelltown (NSW)</x:v>
      </x:c>
      <x:c r="D174" s="18" t="str">
        <x:v>New South Wales</x:v>
      </x:c>
      <x:c r="E174" s="80" t="n">
        <x:v>76</x:v>
      </x:c>
      <x:c r="F174" s="80" t="n">
        <x:v>72788</x:v>
      </x:c>
      <x:c r="G174" s="81" t="n">
        <x:f>E174/F174</x:f>
        <x:v>0.0010441281529922515</x:v>
      </x:c>
      <x:c r="H174" s="82" t="n">
        <x:v>150.8458577772815</x:v>
      </x:c>
      <x:c r="I174" s="82" t="n">
        <x:v>-34.08342472433175</x:v>
      </x:c>
      <x:c r="J174" s="83" t="n">
        <x:v>311.4117</x:v>
      </x:c>
    </x:row>
    <x:row r="175">
      <x:c r="A175" s="78" t="n">
        <x:v>2021</x:v>
      </x:c>
      <x:c r="B175" s="79" t="str">
        <x:v>21450</x:v>
      </x:c>
      <x:c r="C175" s="18" t="str">
        <x:v>Cardinia</x:v>
      </x:c>
      <x:c r="D175" s="18" t="str">
        <x:v>Victoria</x:v>
      </x:c>
      <x:c r="E175" s="80" t="n">
        <x:v>76</x:v>
      </x:c>
      <x:c r="F175" s="80" t="n">
        <x:v>58709</x:v>
      </x:c>
      <x:c r="G175" s="81" t="n">
        <x:f>E175/F175</x:f>
        <x:v>0.0012945204312797016</x:v>
      </x:c>
      <x:c r="H175" s="82" t="n">
        <x:v>145.57268531395363</x:v>
      </x:c>
      <x:c r="I175" s="82" t="n">
        <x:v>-38.08301378576419</x:v>
      </x:c>
      <x:c r="J175" s="83" t="n">
        <x:v>1282.5671</x:v>
      </x:c>
    </x:row>
    <x:row r="176">
      <x:c r="A176" s="78" t="n">
        <x:v>2021</x:v>
      </x:c>
      <x:c r="B176" s="79" t="str">
        <x:v>32270</x:v>
      </x:c>
      <x:c r="C176" s="18" t="str">
        <x:v>Central Highlands (Qld)</x:v>
      </x:c>
      <x:c r="D176" s="18" t="str">
        <x:v>Queensland</x:v>
      </x:c>
      <x:c r="E176" s="80" t="n">
        <x:v>76</x:v>
      </x:c>
      <x:c r="F176" s="80" t="n">
        <x:v>14188</x:v>
      </x:c>
      <x:c r="G176" s="81" t="n">
        <x:f>E176/F176</x:f>
        <x:v>0.0053566394135889485</x:v>
      </x:c>
      <x:c r="H176" s="82" t="n">
        <x:v>148.41581200075876</x:v>
      </x:c>
      <x:c r="I176" s="82" t="n">
        <x:v>-24.031456962225963</x:v>
      </x:c>
      <x:c r="J176" s="83" t="n">
        <x:v>59834.8359</x:v>
      </x:c>
    </x:row>
    <x:row r="177">
      <x:c r="A177" s="78" t="n">
        <x:v>2021</x:v>
      </x:c>
      <x:c r="B177" s="79" t="str">
        <x:v>10900</x:v>
      </x:c>
      <x:c r="C177" s="18" t="str">
        <x:v>Blue Mountains</x:v>
      </x:c>
      <x:c r="D177" s="18" t="str">
        <x:v>New South Wales</x:v>
      </x:c>
      <x:c r="E177" s="80" t="n">
        <x:v>75</x:v>
      </x:c>
      <x:c r="F177" s="80" t="n">
        <x:v>36295</x:v>
      </x:c>
      <x:c r="G177" s="81" t="n">
        <x:f>E177/F177</x:f>
        <x:v>0.002066400330624053</x:v>
      </x:c>
      <x:c r="H177" s="82" t="n">
        <x:v>150.41114121571374</x:v>
      </x:c>
      <x:c r="I177" s="82" t="n">
        <x:v>-33.69754436691685</x:v>
      </x:c>
      <x:c r="J177" s="83" t="n">
        <x:v>1431.1442</x:v>
      </x:c>
    </x:row>
    <x:row r="178">
      <x:c r="A178" s="78" t="n">
        <x:v>2021</x:v>
      </x:c>
      <x:c r="B178" s="79" t="str">
        <x:v>23810</x:v>
      </x:c>
      <x:c r="C178" s="18" t="str">
        <x:v>Latrobe (Vic.)</x:v>
      </x:c>
      <x:c r="D178" s="18" t="str">
        <x:v>Victoria</x:v>
      </x:c>
      <x:c r="E178" s="80" t="n">
        <x:v>75</x:v>
      </x:c>
      <x:c r="F178" s="80" t="n">
        <x:v>32139</x:v>
      </x:c>
      <x:c r="G178" s="81" t="n">
        <x:f>E178/F178</x:f>
        <x:v>0.002333613366937366</x:v>
      </x:c>
      <x:c r="H178" s="82" t="n">
        <x:v>146.43813509281694</x:v>
      </x:c>
      <x:c r="I178" s="82" t="n">
        <x:v>-38.27456454746151</x:v>
      </x:c>
      <x:c r="J178" s="83" t="n">
        <x:v>1425.613</x:v>
      </x:c>
    </x:row>
    <x:row r="179">
      <x:c r="A179" s="78" t="n">
        <x:v>2021</x:v>
      </x:c>
      <x:c r="B179" s="79" t="str">
        <x:v>16400</x:v>
      </x:c>
      <x:c r="C179" s="18" t="str">
        <x:v>Port Stephens</x:v>
      </x:c>
      <x:c r="D179" s="18" t="str">
        <x:v>New South Wales</x:v>
      </x:c>
      <x:c r="E179" s="80" t="n">
        <x:v>74</x:v>
      </x:c>
      <x:c r="F179" s="80" t="n">
        <x:v>30986</x:v>
      </x:c>
      <x:c r="G179" s="81" t="n">
        <x:f>E179/F179</x:f>
        <x:v>0.002388175304976441</x:v>
      </x:c>
      <x:c r="H179" s="82" t="n">
        <x:v>151.84472213223592</x:v>
      </x:c>
      <x:c r="I179" s="82" t="n">
        <x:v>-32.72179515953044</x:v>
      </x:c>
      <x:c r="J179" s="83" t="n">
        <x:v>858.4357</x:v>
      </x:c>
    </x:row>
    <x:row r="180">
      <x:c r="A180" s="78" t="n">
        <x:v>2021</x:v>
      </x:c>
      <x:c r="B180" s="79" t="str">
        <x:v>54200</x:v>
      </x:c>
      <x:c r="C180" s="18" t="str">
        <x:v>Kalamunda</x:v>
      </x:c>
      <x:c r="D180" s="18" t="str">
        <x:v>Western Australia</x:v>
      </x:c>
      <x:c r="E180" s="80" t="n">
        <x:v>72</x:v>
      </x:c>
      <x:c r="F180" s="80" t="n">
        <x:v>28979</x:v>
      </x:c>
      <x:c r="G180" s="81" t="n">
        <x:f>E180/F180</x:f>
        <x:v>0.0024845577832223334</x:v>
      </x:c>
      <x:c r="H180" s="82" t="n">
        <x:v>116.12276345085576</x:v>
      </x:c>
      <x:c r="I180" s="82" t="n">
        <x:v>-32.01224507323346</x:v>
      </x:c>
      <x:c r="J180" s="83" t="n">
        <x:v>324.2958</x:v>
      </x:c>
    </x:row>
    <x:row r="181">
      <x:c r="A181" s="78" t="n">
        <x:v>2021</x:v>
      </x:c>
      <x:c r="B181" s="79" t="str">
        <x:v>24210</x:v>
      </x:c>
      <x:c r="C181" s="18" t="str">
        <x:v>Manningham</x:v>
      </x:c>
      <x:c r="D181" s="18" t="str">
        <x:v>Victoria</x:v>
      </x:c>
      <x:c r="E181" s="80" t="n">
        <x:v>72</x:v>
      </x:c>
      <x:c r="F181" s="80" t="n">
        <x:v>58529</x:v>
      </x:c>
      <x:c r="G181" s="81" t="n">
        <x:f>E181/F181</x:f>
        <x:v>0.0012301594081566402</x:v>
      </x:c>
      <x:c r="H181" s="82" t="n">
        <x:v>145.18856089076414</x:v>
      </x:c>
      <x:c r="I181" s="82" t="n">
        <x:v>-37.76159036566241</x:v>
      </x:c>
      <x:c r="J181" s="83" t="n">
        <x:v>113.3479</x:v>
      </x:c>
    </x:row>
    <x:row r="182">
      <x:c r="A182" s="78" t="n">
        <x:v>2021</x:v>
      </x:c>
      <x:c r="B182" s="79" t="str">
        <x:v>35300</x:v>
      </x:c>
      <x:c r="C182" s="18" t="str">
        <x:v>Mount Isa</x:v>
      </x:c>
      <x:c r="D182" s="18" t="str">
        <x:v>Queensland</x:v>
      </x:c>
      <x:c r="E182" s="80" t="n">
        <x:v>72</x:v>
      </x:c>
      <x:c r="F182" s="80" t="n">
        <x:v>9378</x:v>
      </x:c>
      <x:c r="G182" s="81" t="n">
        <x:f>E182/F182</x:f>
        <x:v>0.007677543186180422</x:v>
      </x:c>
      <x:c r="H182" s="82" t="n">
        <x:v>138.78222328182937</x:v>
      </x:c>
      <x:c r="I182" s="82" t="n">
        <x:v>-19.95390798571647</x:v>
      </x:c>
      <x:c r="J182" s="83" t="n">
        <x:v>43715.1975</x:v>
      </x:c>
    </x:row>
    <x:row r="183">
      <x:c r="A183" s="78" t="n">
        <x:v>2021</x:v>
      </x:c>
      <x:c r="B183" s="79" t="str">
        <x:v>21750</x:v>
      </x:c>
      <x:c r="C183" s="18" t="str">
        <x:v>Colac Otway</x:v>
      </x:c>
      <x:c r="D183" s="18" t="str">
        <x:v>Victoria</x:v>
      </x:c>
      <x:c r="E183" s="80" t="n">
        <x:v>71</x:v>
      </x:c>
      <x:c r="F183" s="80" t="n">
        <x:v>10642</x:v>
      </x:c>
      <x:c r="G183" s="81" t="n">
        <x:f>E183/F183</x:f>
        <x:v>0.006671678255966923</x:v>
      </x:c>
      <x:c r="H183" s="82" t="n">
        <x:v>143.5951817662172</x:v>
      </x:c>
      <x:c r="I183" s="82" t="n">
        <x:v>-38.4519609120319</x:v>
      </x:c>
      <x:c r="J183" s="83" t="n">
        <x:v>3437.47</x:v>
      </x:c>
    </x:row>
    <x:row r="184">
      <x:c r="A184" s="78" t="n">
        <x:v>2021</x:v>
      </x:c>
      <x:c r="B184" s="79" t="str">
        <x:v>10180</x:v>
      </x:c>
      <x:c r="C184" s="18" t="str">
        <x:v>Armidale Regional</x:v>
      </x:c>
      <x:c r="D184" s="18" t="str">
        <x:v>New South Wales</x:v>
      </x:c>
      <x:c r="E184" s="80" t="n">
        <x:v>70</x:v>
      </x:c>
      <x:c r="F184" s="80" t="n">
        <x:v>12765</x:v>
      </x:c>
      <x:c r="G184" s="81" t="n">
        <x:f>E184/F184</x:f>
        <x:v>0.005483744614179397</x:v>
      </x:c>
      <x:c r="H184" s="82" t="n">
        <x:v>151.89910552645654</x:v>
      </x:c>
      <x:c r="I184" s="82" t="n">
        <x:v>-30.36739526626321</x:v>
      </x:c>
      <x:c r="J184" s="83" t="n">
        <x:v>7809.4406</x:v>
      </x:c>
    </x:row>
    <x:row r="185">
      <x:c r="A185" s="78" t="n">
        <x:v>2021</x:v>
      </x:c>
      <x:c r="B185" s="79" t="str">
        <x:v>11450</x:v>
      </x:c>
      <x:c r="C185" s="18" t="str">
        <x:v>Camden</x:v>
      </x:c>
      <x:c r="D185" s="18" t="str">
        <x:v>New South Wales</x:v>
      </x:c>
      <x:c r="E185" s="80" t="n">
        <x:v>69</x:v>
      </x:c>
      <x:c r="F185" s="80" t="n">
        <x:v>59482</x:v>
      </x:c>
      <x:c r="G185" s="81" t="n">
        <x:f>E185/F185</x:f>
        <x:v>0.0011600147943915807</x:v>
      </x:c>
      <x:c r="H185" s="82" t="n">
        <x:v>150.72419385851674</x:v>
      </x:c>
      <x:c r="I185" s="82" t="n">
        <x:v>-34.0088435490583</x:v>
      </x:c>
      <x:c r="J185" s="83" t="n">
        <x:v>201.5278</x:v>
      </x:c>
    </x:row>
    <x:row r="186">
      <x:c r="A186" s="78" t="n">
        <x:v>2021</x:v>
      </x:c>
      <x:c r="B186" s="79" t="str">
        <x:v>53290</x:v>
      </x:c>
      <x:c r="C186" s="18" t="str">
        <x:v>Esperance</x:v>
      </x:c>
      <x:c r="D186" s="18" t="str">
        <x:v>Western Australia</x:v>
      </x:c>
      <x:c r="E186" s="80" t="n">
        <x:v>69</x:v>
      </x:c>
      <x:c r="F186" s="80" t="n">
        <x:v>6504</x:v>
      </x:c>
      <x:c r="G186" s="81" t="n">
        <x:f>E186/F186</x:f>
        <x:v>0.010608856088560886</x:v>
      </x:c>
      <x:c r="H186" s="82" t="n">
        <x:v>122.25028145403381</x:v>
      </x:c>
      <x:c r="I186" s="82" t="n">
        <x:v>-33.22197254883295</x:v>
      </x:c>
      <x:c r="J186" s="83" t="n">
        <x:v>44797.5456</x:v>
      </x:c>
    </x:row>
    <x:row r="187">
      <x:c r="A187" s="78" t="n">
        <x:v>2021</x:v>
      </x:c>
      <x:c r="B187" s="79" t="str">
        <x:v>72300</x:v>
      </x:c>
      <x:c r="C187" s="18" t="str">
        <x:v>Litchfield</x:v>
      </x:c>
      <x:c r="D187" s="18" t="str">
        <x:v>Northern Territory</x:v>
      </x:c>
      <x:c r="E187" s="80" t="n">
        <x:v>69</x:v>
      </x:c>
      <x:c r="F187" s="80" t="n">
        <x:v>10776</x:v>
      </x:c>
      <x:c r="G187" s="81" t="n">
        <x:f>E187/F187</x:f>
        <x:v>0.006403118040089087</x:v>
      </x:c>
      <x:c r="H187" s="82" t="n">
        <x:v>131.12178339086017</x:v>
      </x:c>
      <x:c r="I187" s="82" t="n">
        <x:v>-12.537451948544275</x:v>
      </x:c>
      <x:c r="J187" s="83" t="n">
        <x:v>2903.3391</x:v>
      </x:c>
    </x:row>
    <x:row r="188">
      <x:c r="A188" s="78" t="n">
        <x:v>2021</x:v>
      </x:c>
      <x:c r="B188" s="79" t="str">
        <x:v>24650</x:v>
      </x:c>
      <x:c r="C188" s="18" t="str">
        <x:v>Melton</x:v>
      </x:c>
      <x:c r="D188" s="18" t="str">
        <x:v>Victoria</x:v>
      </x:c>
      <x:c r="E188" s="80" t="n">
        <x:v>69</x:v>
      </x:c>
      <x:c r="F188" s="80" t="n">
        <x:v>81442</x:v>
      </x:c>
      <x:c r="G188" s="81" t="n">
        <x:f>E188/F188</x:f>
        <x:v>0.000847228702635004</x:v>
      </x:c>
      <x:c r="H188" s="82" t="n">
        <x:v>144.6259818189359</x:v>
      </x:c>
      <x:c r="I188" s="82" t="n">
        <x:v>-37.693005632793266</x:v>
      </x:c>
      <x:c r="J188" s="83" t="n">
        <x:v>527.5374</x:v>
      </x:c>
    </x:row>
    <x:row r="189">
      <x:c r="A189" s="78" t="n">
        <x:v>2021</x:v>
      </x:c>
      <x:c r="B189" s="79" t="str">
        <x:v>26610</x:v>
      </x:c>
      <x:c r="C189" s="18" t="str">
        <x:v>Swan Hill</x:v>
      </x:c>
      <x:c r="D189" s="18" t="str">
        <x:v>Victoria</x:v>
      </x:c>
      <x:c r="E189" s="80" t="n">
        <x:v>69</x:v>
      </x:c>
      <x:c r="F189" s="80" t="n">
        <x:v>9866</x:v>
      </x:c>
      <x:c r="G189" s="81" t="n">
        <x:f>E189/F189</x:f>
        <x:v>0.006993715791607541</x:v>
      </x:c>
      <x:c r="H189" s="82" t="n">
        <x:v>143.1254749403892</x:v>
      </x:c>
      <x:c r="I189" s="82" t="n">
        <x:v>-35.120203653558356</x:v>
      </x:c>
      <x:c r="J189" s="83" t="n">
        <x:v>6115.5373</x:v>
      </x:c>
    </x:row>
    <x:row r="190">
      <x:c r="A190" s="78" t="n">
        <x:v>2021</x:v>
      </x:c>
      <x:c r="B190" s="79" t="str">
        <x:v>15050</x:v>
      </x:c>
      <x:c r="C190" s="18" t="str">
        <x:v>Maitland</x:v>
      </x:c>
      <x:c r="D190" s="18" t="str">
        <x:v>New South Wales</x:v>
      </x:c>
      <x:c r="E190" s="80" t="n">
        <x:v>66</x:v>
      </x:c>
      <x:c r="F190" s="80" t="n">
        <x:v>43280</x:v>
      </x:c>
      <x:c r="G190" s="81" t="n">
        <x:f>E190/F190</x:f>
        <x:v>0.0015249537892791127</x:v>
      </x:c>
      <x:c r="H190" s="82" t="n">
        <x:v>151.54975568934037</x:v>
      </x:c>
      <x:c r="I190" s="82" t="n">
        <x:v>-32.71081374398276</x:v>
      </x:c>
      <x:c r="J190" s="83" t="n">
        <x:v>391.5089</x:v>
      </x:c>
    </x:row>
    <x:row r="191">
      <x:c r="A191" s="78" t="n">
        <x:v>2021</x:v>
      </x:c>
      <x:c r="B191" s="79" t="str">
        <x:v>16150</x:v>
      </x:c>
      <x:c r="C191" s="18" t="str">
        <x:v>Orange</x:v>
      </x:c>
      <x:c r="D191" s="18" t="str">
        <x:v>New South Wales</x:v>
      </x:c>
      <x:c r="E191" s="80" t="n">
        <x:v>66</x:v>
      </x:c>
      <x:c r="F191" s="80" t="n">
        <x:v>20446</x:v>
      </x:c>
      <x:c r="G191" s="81" t="n">
        <x:f>E191/F191</x:f>
        <x:v>0.0032280152597085002</x:v>
      </x:c>
      <x:c r="H191" s="82" t="n">
        <x:v>149.12037371859668</x:v>
      </x:c>
      <x:c r="I191" s="82" t="n">
        <x:v>-33.32466152469132</x:v>
      </x:c>
      <x:c r="J191" s="83" t="n">
        <x:v>284.2159</x:v>
      </x:c>
    </x:row>
    <x:row r="192">
      <x:c r="A192" s="78" t="n">
        <x:v>2021</x:v>
      </x:c>
      <x:c r="B192" s="79" t="str">
        <x:v>54310</x:v>
      </x:c>
      <x:c r="C192" s="18" t="str">
        <x:v>Karratha</x:v>
      </x:c>
      <x:c r="D192" s="18" t="str">
        <x:v>Western Australia</x:v>
      </x:c>
      <x:c r="E192" s="80" t="n">
        <x:v>65</x:v>
      </x:c>
      <x:c r="F192" s="80" t="n">
        <x:v>11129</x:v>
      </x:c>
      <x:c r="G192" s="81" t="n">
        <x:f>E192/F192</x:f>
        <x:v>0.005840596639410549</x:v>
      </x:c>
      <x:c r="H192" s="82" t="n">
        <x:v>117.03600287900157</x:v>
      </x:c>
      <x:c r="I192" s="82" t="n">
        <x:v>-21.049297233236107</x:v>
      </x:c>
      <x:c r="J192" s="83" t="n">
        <x:v>15238.2934</x:v>
      </x:c>
    </x:row>
    <x:row r="193">
      <x:c r="A193" s="78" t="n">
        <x:v>2021</x:v>
      </x:c>
      <x:c r="B193" s="79" t="str">
        <x:v>16900</x:v>
      </x:c>
      <x:c r="C193" s="18" t="str">
        <x:v>Shellharbour</x:v>
      </x:c>
      <x:c r="D193" s="18" t="str">
        <x:v>New South Wales</x:v>
      </x:c>
      <x:c r="E193" s="80" t="n">
        <x:v>63</x:v>
      </x:c>
      <x:c r="F193" s="80" t="n">
        <x:v>34522</x:v>
      </x:c>
      <x:c r="G193" s="81" t="n">
        <x:f>E193/F193</x:f>
        <x:v>0.001824923237355889</x:v>
      </x:c>
      <x:c r="H193" s="82" t="n">
        <x:v>150.77386838541238</x:v>
      </x:c>
      <x:c r="I193" s="82" t="n">
        <x:v>-34.58269232053792</x:v>
      </x:c>
      <x:c r="J193" s="83" t="n">
        <x:v>147.4208</x:v>
      </x:c>
    </x:row>
    <x:row r="194">
      <x:c r="A194" s="78" t="n">
        <x:v>2021</x:v>
      </x:c>
      <x:c r="B194" s="79" t="str">
        <x:v>17310</x:v>
      </x:c>
      <x:c r="C194" s="18" t="str">
        <x:v>Tamworth Regional</x:v>
      </x:c>
      <x:c r="D194" s="18" t="str">
        <x:v>New South Wales</x:v>
      </x:c>
      <x:c r="E194" s="80" t="n">
        <x:v>63</x:v>
      </x:c>
      <x:c r="F194" s="80" t="n">
        <x:v>28644</x:v>
      </x:c>
      <x:c r="G194" s="81" t="n">
        <x:f>E194/F194</x:f>
        <x:v>0.0021994134897360706</x:v>
      </x:c>
      <x:c r="H194" s="82" t="n">
        <x:v>150.9070580935896</x:v>
      </x:c>
      <x:c r="I194" s="82" t="n">
        <x:v>-30.892516965169907</x:v>
      </x:c>
      <x:c r="J194" s="83" t="n">
        <x:v>9884.3505</x:v>
      </x:c>
    </x:row>
    <x:row r="195">
      <x:c r="A195" s="78" t="n">
        <x:v>2021</x:v>
      </x:c>
      <x:c r="B195" s="79" t="str">
        <x:v>10550</x:v>
      </x:c>
      <x:c r="C195" s="18" t="str">
        <x:v>Bega Valley</x:v>
      </x:c>
      <x:c r="D195" s="18" t="str">
        <x:v>New South Wales</x:v>
      </x:c>
      <x:c r="E195" s="80" t="n">
        <x:v>61</x:v>
      </x:c>
      <x:c r="F195" s="80" t="n">
        <x:v>14975</x:v>
      </x:c>
      <x:c r="G195" s="81" t="n">
        <x:f>E195/F195</x:f>
        <x:v>0.004073455759599332</x:v>
      </x:c>
      <x:c r="H195" s="82" t="n">
        <x:v>149.71758809227825</x:v>
      </x:c>
      <x:c r="I195" s="82" t="n">
        <x:v>-36.82591476009885</x:v>
      </x:c>
      <x:c r="J195" s="83" t="n">
        <x:v>6278.5013</x:v>
      </x:c>
    </x:row>
    <x:row r="196">
      <x:c r="A196" s="78" t="n">
        <x:v>2021</x:v>
      </x:c>
      <x:c r="B196" s="79" t="str">
        <x:v>44620</x:v>
      </x:c>
      <x:c r="C196" s="18" t="str">
        <x:v>Mount Gambier</x:v>
      </x:c>
      <x:c r="D196" s="18" t="str">
        <x:v>South Australia</x:v>
      </x:c>
      <x:c r="E196" s="80" t="n">
        <x:v>61</x:v>
      </x:c>
      <x:c r="F196" s="80" t="n">
        <x:v>12349</x:v>
      </x:c>
      <x:c r="G196" s="81" t="n">
        <x:f>E196/F196</x:f>
        <x:v>0.00493967122843955</x:v>
      </x:c>
      <x:c r="H196" s="82" t="n">
        <x:v>140.7816824238826</x:v>
      </x:c>
      <x:c r="I196" s="82" t="n">
        <x:v>-37.82534521793487</x:v>
      </x:c>
      <x:c r="J196" s="83" t="n">
        <x:v>33.8938</x:v>
      </x:c>
    </x:row>
    <x:row r="197">
      <x:c r="A197" s="78" t="n">
        <x:v>2021</x:v>
      </x:c>
      <x:c r="B197" s="79" t="str">
        <x:v>40120</x:v>
      </x:c>
      <x:c r="C197" s="18" t="str">
        <x:v>Adelaide Hills</x:v>
      </x:c>
      <x:c r="D197" s="18" t="str">
        <x:v>South Australia</x:v>
      </x:c>
      <x:c r="E197" s="80" t="n">
        <x:v>60</x:v>
      </x:c>
      <x:c r="F197" s="80" t="n">
        <x:v>21047</x:v>
      </x:c>
      <x:c r="G197" s="81" t="n">
        <x:f>E197/F197</x:f>
        <x:v>0.0028507625789898797</x:v>
      </x:c>
      <x:c r="H197" s="82" t="n">
        <x:v>138.83622923015514</x:v>
      </x:c>
      <x:c r="I197" s="82" t="n">
        <x:v>-34.892823752985656</x:v>
      </x:c>
      <x:c r="J197" s="83" t="n">
        <x:v>794.4957</x:v>
      </x:c>
    </x:row>
    <x:row r="198">
      <x:c r="A198" s="78" t="n">
        <x:v>2021</x:v>
      </x:c>
      <x:c r="B198" s="79" t="str">
        <x:v>16610</x:v>
      </x:c>
      <x:c r="C198" s="18" t="str">
        <x:v>Richmond Valley</x:v>
      </x:c>
      <x:c r="D198" s="18" t="str">
        <x:v>New South Wales</x:v>
      </x:c>
      <x:c r="E198" s="80" t="n">
        <x:v>59</x:v>
      </x:c>
      <x:c r="F198" s="80" t="n">
        <x:v>9119</x:v>
      </x:c>
      <x:c r="G198" s="81" t="n">
        <x:f>E198/F198</x:f>
        <x:v>0.006470007676280294</x:v>
      </x:c>
      <x:c r="H198" s="82" t="n">
        <x:v>153.04628155481518</x:v>
      </x:c>
      <x:c r="I198" s="82" t="n">
        <x:v>-29.059627327942763</x:v>
      </x:c>
      <x:c r="J198" s="83" t="n">
        <x:v>3047.3748</x:v>
      </x:c>
    </x:row>
    <x:row r="199">
      <x:c r="A199" s="78" t="n">
        <x:v>2021</x:v>
      </x:c>
      <x:c r="B199" s="79" t="str">
        <x:v>59340</x:v>
      </x:c>
      <x:c r="C199" s="18" t="str">
        <x:v>Wyndham-East Kimberley</x:v>
      </x:c>
      <x:c r="D199" s="18" t="str">
        <x:v>Western Australia</x:v>
      </x:c>
      <x:c r="E199" s="80" t="n">
        <x:v>59</x:v>
      </x:c>
      <x:c r="F199" s="80" t="n">
        <x:v>3198</x:v>
      </x:c>
      <x:c r="G199" s="81" t="n">
        <x:f>E199/F199</x:f>
        <x:v>0.018449030644152594</x:v>
      </x:c>
      <x:c r="H199" s="82" t="n">
        <x:v>127.05168285990044</x:v>
      </x:c>
      <x:c r="I199" s="82" t="n">
        <x:v>-15.558972699562148</x:v>
      </x:c>
      <x:c r="J199" s="83" t="n">
        <x:v>112066.3217</x:v>
      </x:c>
    </x:row>
    <x:row r="200">
      <x:c r="A200" s="78" t="n">
        <x:v>2021</x:v>
      </x:c>
      <x:c r="B200" s="79" t="str">
        <x:v>25710</x:v>
      </x:c>
      <x:c r="C200" s="18" t="str">
        <x:v>Nillumbik</x:v>
      </x:c>
      <x:c r="D200" s="18" t="str">
        <x:v>Victoria</x:v>
      </x:c>
      <x:c r="E200" s="80" t="n">
        <x:v>58</x:v>
      </x:c>
      <x:c r="F200" s="80" t="n">
        <x:v>33770</x:v>
      </x:c>
      <x:c r="G200" s="81" t="n">
        <x:f>E200/F200</x:f>
        <x:v>0.0017175007403020433</x:v>
      </x:c>
      <x:c r="H200" s="82" t="n">
        <x:v>145.236804346446</x:v>
      </x:c>
      <x:c r="I200" s="82" t="n">
        <x:v>-37.62291462877575</x:v>
      </x:c>
      <x:c r="J200" s="83" t="n">
        <x:v>432.3373</x:v>
      </x:c>
    </x:row>
    <x:row r="201">
      <x:c r="A201" s="78" t="n">
        <x:v>2021</x:v>
      </x:c>
      <x:c r="B201" s="79" t="str">
        <x:v>55740</x:v>
      </x:c>
      <x:c r="C201" s="18" t="str">
        <x:v>Mosman Park</x:v>
      </x:c>
      <x:c r="D201" s="18" t="str">
        <x:v>Western Australia</x:v>
      </x:c>
      <x:c r="E201" s="80" t="n">
        <x:v>57</x:v>
      </x:c>
      <x:c r="F201" s="80" t="n">
        <x:v>4486</x:v>
      </x:c>
      <x:c r="G201" s="81" t="n">
        <x:f>E201/F201</x:f>
        <x:v>0.01270619705751226</x:v>
      </x:c>
      <x:c r="H201" s="82" t="n">
        <x:v>115.76554584951484</x:v>
      </x:c>
      <x:c r="I201" s="82" t="n">
        <x:v>-32.014804420071364</x:v>
      </x:c>
      <x:c r="J201" s="83" t="n">
        <x:v>4.3472</x:v>
      </x:c>
    </x:row>
    <x:row r="202">
      <x:c r="A202" s="78" t="n">
        <x:v>2021</x:v>
      </x:c>
      <x:c r="B202" s="79" t="str">
        <x:v>19399</x:v>
      </x:c>
      <x:c r="C202" s="18" t="str">
        <x:v>Unincorporated NSW</x:v>
      </x:c>
      <x:c r="D202" s="18" t="str">
        <x:v>New South Wales</x:v>
      </x:c>
      <x:c r="E202" s="80" t="n">
        <x:v>57</x:v>
      </x:c>
      <x:c r="F202" s="80" t="n">
        <x:v>556</x:v>
      </x:c>
      <x:c r="G202" s="81" t="n">
        <x:f>E202/F202</x:f>
        <x:v>0.10251798561151079</x:v>
      </x:c>
      <x:c r="H202" s="82" t="n">
        <x:v>142.215787065313</x:v>
      </x:c>
      <x:c r="I202" s="82" t="n">
        <x:v>-30.654536867319862</x:v>
      </x:c>
      <x:c r="J202" s="83" t="n">
        <x:v>93208.9194</x:v>
      </x:c>
    </x:row>
    <x:row r="203">
      <x:c r="A203" s="78" t="n">
        <x:v>2021</x:v>
      </x:c>
      <x:c r="B203" s="79" t="str">
        <x:v>46450</x:v>
      </x:c>
      <x:c r="C203" s="18" t="str">
        <x:v>Port Pirie</x:v>
      </x:c>
      <x:c r="D203" s="18" t="str">
        <x:v>South Australia</x:v>
      </x:c>
      <x:c r="E203" s="80" t="n">
        <x:v>56</x:v>
      </x:c>
      <x:c r="F203" s="80" t="n">
        <x:v>6865</x:v>
      </x:c>
      <x:c r="G203" s="81" t="n">
        <x:f>E203/F203</x:f>
        <x:v>0.008157319737800437</x:v>
      </x:c>
      <x:c r="H203" s="82" t="n">
        <x:v>138.10593234494274</x:v>
      </x:c>
      <x:c r="I203" s="82" t="n">
        <x:v>-33.376842316958026</x:v>
      </x:c>
      <x:c r="J203" s="83" t="n">
        <x:v>1760.7097</x:v>
      </x:c>
    </x:row>
    <x:row r="204">
      <x:c r="A204" s="78" t="n">
        <x:v>2021</x:v>
      </x:c>
      <x:c r="B204" s="79" t="str">
        <x:v>40310</x:v>
      </x:c>
      <x:c r="C204" s="18" t="str">
        <x:v>Barossa</x:v>
      </x:c>
      <x:c r="D204" s="18" t="str">
        <x:v>South Australia</x:v>
      </x:c>
      <x:c r="E204" s="80" t="n">
        <x:v>55</x:v>
      </x:c>
      <x:c r="F204" s="80" t="n">
        <x:v>12267</x:v>
      </x:c>
      <x:c r="G204" s="81" t="n">
        <x:f>E204/F204</x:f>
        <x:v>0.004483573815928915</x:v>
      </x:c>
      <x:c r="H204" s="82" t="n">
        <x:v>139.00168242404058</x:v>
      </x:c>
      <x:c r="I204" s="82" t="n">
        <x:v>-34.6210643658432</x:v>
      </x:c>
      <x:c r="J204" s="83" t="n">
        <x:v>893.5424</x:v>
      </x:c>
    </x:row>
    <x:row r="205">
      <x:c r="A205" s="78" t="n">
        <x:v>2021</x:v>
      </x:c>
      <x:c r="B205" s="79" t="str">
        <x:v>36630</x:v>
      </x:c>
      <x:c r="C205" s="18" t="str">
        <x:v>South Burnett</x:v>
      </x:c>
      <x:c r="D205" s="18" t="str">
        <x:v>Queensland</x:v>
      </x:c>
      <x:c r="E205" s="80" t="n">
        <x:v>55</x:v>
      </x:c>
      <x:c r="F205" s="80" t="n">
        <x:v>12182</x:v>
      </x:c>
      <x:c r="G205" s="81" t="n">
        <x:f>E205/F205</x:f>
        <x:v>0.004514857987194221</x:v>
      </x:c>
      <x:c r="H205" s="82" t="n">
        <x:v>151.6469255816733</x:v>
      </x:c>
      <x:c r="I205" s="82" t="n">
        <x:v>-26.405220844351973</x:v>
      </x:c>
      <x:c r="J205" s="83" t="n">
        <x:v>8381.558</x:v>
      </x:c>
    </x:row>
    <x:row r="206">
      <x:c r="A206" s="78" t="n">
        <x:v>2021</x:v>
      </x:c>
      <x:c r="B206" s="79" t="str">
        <x:v>36660</x:v>
      </x:c>
      <x:c r="C206" s="18" t="str">
        <x:v>Southern Downs</x:v>
      </x:c>
      <x:c r="D206" s="18" t="str">
        <x:v>Queensland</x:v>
      </x:c>
      <x:c r="E206" s="80" t="n">
        <x:v>55</x:v>
      </x:c>
      <x:c r="F206" s="80" t="n">
        <x:v>14978</x:v>
      </x:c>
      <x:c r="G206" s="81" t="n">
        <x:f>E206/F206</x:f>
        <x:v>0.003672052343437041</x:v>
      </x:c>
      <x:c r="H206" s="82" t="n">
        <x:v>151.8857933402253</x:v>
      </x:c>
      <x:c r="I206" s="82" t="n">
        <x:v>-28.40544494333822</x:v>
      </x:c>
      <x:c r="J206" s="83" t="n">
        <x:v>7106.436</x:v>
      </x:c>
    </x:row>
    <x:row r="207">
      <x:c r="A207" s="78" t="n">
        <x:v>2021</x:v>
      </x:c>
      <x:c r="B207" s="79" t="str">
        <x:v>13800</x:v>
      </x:c>
      <x:c r="C207" s="18" t="str">
        <x:v>Hawkesbury</x:v>
      </x:c>
      <x:c r="D207" s="18" t="str">
        <x:v>New South Wales</x:v>
      </x:c>
      <x:c r="E207" s="80" t="n">
        <x:v>54</x:v>
      </x:c>
      <x:c r="F207" s="80" t="n">
        <x:v>33364</x:v>
      </x:c>
      <x:c r="G207" s="81" t="n">
        <x:f>E207/F207</x:f>
        <x:v>0.0016185109699076849</x:v>
      </x:c>
      <x:c r="H207" s="82" t="n">
        <x:v>150.77324197937858</x:v>
      </x:c>
      <x:c r="I207" s="82" t="n">
        <x:v>-33.33477884333189</x:v>
      </x:c>
      <x:c r="J207" s="83" t="n">
        <x:v>2775.1378</x:v>
      </x:c>
    </x:row>
    <x:row r="208">
      <x:c r="A208" s="78" t="n">
        <x:v>2021</x:v>
      </x:c>
      <x:c r="B208" s="79" t="str">
        <x:v>56090</x:v>
      </x:c>
      <x:c r="C208" s="18" t="str">
        <x:v>Mundaring</x:v>
      </x:c>
      <x:c r="D208" s="18" t="str">
        <x:v>Western Australia</x:v>
      </x:c>
      <x:c r="E208" s="80" t="n">
        <x:v>53</x:v>
      </x:c>
      <x:c r="F208" s="80" t="n">
        <x:v>18464</x:v>
      </x:c>
      <x:c r="G208" s="81" t="n">
        <x:f>E208/F208</x:f>
        <x:v>0.0028704506065857886</x:v>
      </x:c>
      <x:c r="H208" s="82" t="n">
        <x:v>116.25163156868865</x:v>
      </x:c>
      <x:c r="I208" s="82" t="n">
        <x:v>-31.89993680070518</x:v>
      </x:c>
      <x:c r="J208" s="83" t="n">
        <x:v>643.2012</x:v>
      </x:c>
    </x:row>
    <x:row r="209">
      <x:c r="A209" s="78" t="n">
        <x:v>2021</x:v>
      </x:c>
      <x:c r="B209" s="79" t="str">
        <x:v>11300</x:v>
      </x:c>
      <x:c r="C209" s="18" t="str">
        <x:v>Burwood</x:v>
      </x:c>
      <x:c r="D209" s="18" t="str">
        <x:v>New South Wales</x:v>
      </x:c>
      <x:c r="E209" s="80" t="n">
        <x:v>52</x:v>
      </x:c>
      <x:c r="F209" s="80" t="n">
        <x:v>18768</x:v>
      </x:c>
      <x:c r="G209" s="81" t="n">
        <x:f>E209/F209</x:f>
        <x:v>0.0027706734867860186</x:v>
      </x:c>
      <x:c r="H209" s="82" t="n">
        <x:v>151.10315194378464</x:v>
      </x:c>
      <x:c r="I209" s="82" t="n">
        <x:v>-33.88368620846941</x:v>
      </x:c>
      <x:c r="J209" s="83" t="n">
        <x:v>7.1282</x:v>
      </x:c>
    </x:row>
    <x:row r="210">
      <x:c r="A210" s="78" t="n">
        <x:v>2021</x:v>
      </x:c>
      <x:c r="B210" s="79" t="str">
        <x:v>17100</x:v>
      </x:c>
      <x:c r="C210" s="18" t="str">
        <x:v>Strathfield</x:v>
      </x:c>
      <x:c r="D210" s="18" t="str">
        <x:v>New South Wales</x:v>
      </x:c>
      <x:c r="E210" s="80" t="n">
        <x:v>51</x:v>
      </x:c>
      <x:c r="F210" s="80" t="n">
        <x:v>22795</x:v>
      </x:c>
      <x:c r="G210" s="81" t="n">
        <x:f>E210/F210</x:f>
        <x:v>0.002237332748409739</x:v>
      </x:c>
      <x:c r="H210" s="82" t="n">
        <x:v>151.07643714868868</x:v>
      </x:c>
      <x:c r="I210" s="82" t="n">
        <x:v>-33.88042574501491</x:v>
      </x:c>
      <x:c r="J210" s="83" t="n">
        <x:v>14.0008</x:v>
      </x:c>
    </x:row>
    <x:row r="211">
      <x:c r="A211" s="78" t="n">
        <x:v>2021</x:v>
      </x:c>
      <x:c r="B211" s="79" t="str">
        <x:v>10470</x:v>
      </x:c>
      <x:c r="C211" s="18" t="str">
        <x:v>Bathurst Regional</x:v>
      </x:c>
      <x:c r="D211" s="18" t="str">
        <x:v>New South Wales</x:v>
      </x:c>
      <x:c r="E211" s="80" t="n">
        <x:v>50</x:v>
      </x:c>
      <x:c r="F211" s="80" t="n">
        <x:v>20457</x:v>
      </x:c>
      <x:c r="G211" s="81" t="n">
        <x:f>E211/F211</x:f>
        <x:v>0.0024441511463068875</x:v>
      </x:c>
      <x:c r="H211" s="82" t="n">
        <x:v>149.52563368666108</x:v>
      </x:c>
      <x:c r="I211" s="82" t="n">
        <x:v>-33.430138852233256</x:v>
      </x:c>
      <x:c r="J211" s="83" t="n">
        <x:v>3817.8645</x:v>
      </x:c>
    </x:row>
    <x:row r="212">
      <x:c r="A212" s="78" t="n">
        <x:v>2021</x:v>
      </x:c>
      <x:c r="B212" s="79" t="str">
        <x:v>15350</x:v>
      </x:c>
      <x:c r="C212" s="18" t="str">
        <x:v>Mosman</x:v>
      </x:c>
      <x:c r="D212" s="18" t="str">
        <x:v>New South Wales</x:v>
      </x:c>
      <x:c r="E212" s="80" t="n">
        <x:v>50</x:v>
      </x:c>
      <x:c r="F212" s="80" t="n">
        <x:v>14153</x:v>
      </x:c>
      <x:c r="G212" s="81" t="n">
        <x:f>E212/F212</x:f>
        <x:v>0.003532819896841659</x:v>
      </x:c>
      <x:c r="H212" s="82" t="n">
        <x:v>151.24463612985133</x:v>
      </x:c>
      <x:c r="I212" s="82" t="n">
        <x:v>-33.829081926963845</x:v>
      </x:c>
      <x:c r="J212" s="83" t="n">
        <x:v>8.6503</x:v>
      </x:c>
    </x:row>
    <x:row r="213">
      <x:c r="A213" s="78" t="n">
        <x:v>2021</x:v>
      </x:c>
      <x:c r="B213" s="79" t="str">
        <x:v>34880</x:v>
      </x:c>
      <x:c r="C213" s="18" t="str">
        <x:v>Mareeba</x:v>
      </x:c>
      <x:c r="D213" s="18" t="str">
        <x:v>Queensland</x:v>
      </x:c>
      <x:c r="E213" s="80" t="n">
        <x:v>49</x:v>
      </x:c>
      <x:c r="F213" s="80" t="n">
        <x:v>9088</x:v>
      </x:c>
      <x:c r="G213" s="81" t="n">
        <x:f>E213/F213</x:f>
        <x:v>0.005391725352112676</x:v>
      </x:c>
      <x:c r="H213" s="82" t="n">
        <x:v>143.95517147647496</x:v>
      </x:c>
      <x:c r="I213" s="82" t="n">
        <x:v>-16.98473715402723</x:v>
      </x:c>
      <x:c r="J213" s="83" t="n">
        <x:v>53491.0502</x:v>
      </x:c>
    </x:row>
    <x:row r="214">
      <x:c r="A214" s="78" t="n">
        <x:v>2021</x:v>
      </x:c>
      <x:c r="B214" s="79" t="str">
        <x:v>25810</x:v>
      </x:c>
      <x:c r="C214" s="18" t="str">
        <x:v>Northern Grampians</x:v>
      </x:c>
      <x:c r="D214" s="18" t="str">
        <x:v>Victoria</x:v>
      </x:c>
      <x:c r="E214" s="80" t="n">
        <x:v>49</x:v>
      </x:c>
      <x:c r="F214" s="80" t="n">
        <x:v>5170</x:v>
      </x:c>
      <x:c r="G214" s="81" t="n">
        <x:f>E214/F214</x:f>
        <x:v>0.009477756286266924</x:v>
      </x:c>
      <x:c r="H214" s="82" t="n">
        <x:v>142.91964299358497</x:v>
      </x:c>
      <x:c r="I214" s="82" t="n">
        <x:v>-36.84462899882927</x:v>
      </x:c>
      <x:c r="J214" s="83" t="n">
        <x:v>5729.8765</x:v>
      </x:c>
    </x:row>
    <x:row r="215">
      <x:c r="A215" s="78" t="n">
        <x:v>2021</x:v>
      </x:c>
      <x:c r="B215" s="79" t="str">
        <x:v>53220</x:v>
      </x:c>
      <x:c r="C215" s="18" t="str">
        <x:v>East Pilbara</x:v>
      </x:c>
      <x:c r="D215" s="18" t="str">
        <x:v>Western Australia</x:v>
      </x:c>
      <x:c r="E215" s="80" t="n">
        <x:v>48</x:v>
      </x:c>
      <x:c r="F215" s="80" t="n">
        <x:v>4859</x:v>
      </x:c>
      <x:c r="G215" s="81" t="n">
        <x:f>E215/F215</x:f>
        <x:v>0.009878575838649928</x:v>
      </x:c>
      <x:c r="H215" s="82" t="n">
        <x:v>123.59648741695521</x:v>
      </x:c>
      <x:c r="I215" s="82" t="n">
        <x:v>-21.76846263237101</x:v>
      </x:c>
      <x:c r="J215" s="83" t="n">
        <x:v>372295.6721</x:v>
      </x:c>
    </x:row>
    <x:row r="216">
      <x:c r="A216" s="78" t="n">
        <x:v>2021</x:v>
      </x:c>
      <x:c r="B216" s="79" t="str">
        <x:v>50250</x:v>
      </x:c>
      <x:c r="C216" s="18" t="str">
        <x:v>Ashburton</x:v>
      </x:c>
      <x:c r="D216" s="18" t="str">
        <x:v>Western Australia</x:v>
      </x:c>
      <x:c r="E216" s="80" t="n">
        <x:v>45</x:v>
      </x:c>
      <x:c r="F216" s="80" t="n">
        <x:v>3828</x:v>
      </x:c>
      <x:c r="G216" s="81" t="n">
        <x:f>E216/F216</x:f>
        <x:v>0.011755485893416929</x:v>
      </x:c>
      <x:c r="H216" s="82" t="n">
        <x:v>116.72624506582676</x:v>
      </x:c>
      <x:c r="I216" s="82" t="n">
        <x:v>-22.49364931810471</x:v>
      </x:c>
      <x:c r="J216" s="83" t="n">
        <x:v>100817.3112</x:v>
      </x:c>
    </x:row>
    <x:row r="217">
      <x:c r="A217" s="78" t="n">
        <x:v>2021</x:v>
      </x:c>
      <x:c r="B217" s="79" t="str">
        <x:v>24130</x:v>
      </x:c>
      <x:c r="C217" s="18" t="str">
        <x:v>Macedon Ranges</x:v>
      </x:c>
      <x:c r="D217" s="18" t="str">
        <x:v>Victoria</x:v>
      </x:c>
      <x:c r="E217" s="80" t="n">
        <x:v>45</x:v>
      </x:c>
      <x:c r="F217" s="80" t="n">
        <x:v>25279</x:v>
      </x:c>
      <x:c r="G217" s="81" t="n">
        <x:f>E217/F217</x:f>
        <x:v>0.0017801337078207208</x:v>
      </x:c>
      <x:c r="H217" s="82" t="n">
        <x:v>144.61661359691524</x:v>
      </x:c>
      <x:c r="I217" s="82" t="n">
        <x:v>-37.33566772441412</x:v>
      </x:c>
      <x:c r="J217" s="83" t="n">
        <x:v>1748.284</x:v>
      </x:c>
    </x:row>
    <x:row r="218">
      <x:c r="A218" s="78" t="n">
        <x:v>2021</x:v>
      </x:c>
      <x:c r="B218" s="79" t="str">
        <x:v>24850</x:v>
      </x:c>
      <x:c r="C218" s="18" t="str">
        <x:v>Mitchell</x:v>
      </x:c>
      <x:c r="D218" s="18" t="str">
        <x:v>Victoria</x:v>
      </x:c>
      <x:c r="E218" s="80" t="n">
        <x:v>45</x:v>
      </x:c>
      <x:c r="F218" s="80" t="n">
        <x:v>23504</x:v>
      </x:c>
      <x:c r="G218" s="81" t="n">
        <x:f>E218/F218</x:f>
        <x:v>0.0019145677331518039</x:v>
      </x:c>
      <x:c r="H218" s="82" t="n">
        <x:v>145.0016051580812</x:v>
      </x:c>
      <x:c r="I218" s="82" t="n">
        <x:v>-37.137530454519094</x:v>
      </x:c>
      <x:c r="J218" s="83" t="n">
        <x:v>2862.0837</x:v>
      </x:c>
    </x:row>
    <x:row r="219">
      <x:c r="A219" s="78" t="n">
        <x:v>2021</x:v>
      </x:c>
      <x:c r="B219" s="79" t="str">
        <x:v>37300</x:v>
      </x:c>
      <x:c r="C219" s="18" t="str">
        <x:v>Weipa</x:v>
      </x:c>
      <x:c r="D219" s="18" t="str">
        <x:v>Queensland</x:v>
      </x:c>
      <x:c r="E219" s="80" t="n">
        <x:v>45</x:v>
      </x:c>
      <x:c r="F219" s="80" t="n">
        <x:v>2271</x:v>
      </x:c>
      <x:c r="G219" s="81" t="n">
        <x:f>E219/F219</x:f>
        <x:v>0.019815059445178335</x:v>
      </x:c>
      <x:c r="H219" s="82" t="n">
        <x:v>141.87976991705304</x:v>
      </x:c>
      <x:c r="I219" s="82" t="n">
        <x:v>-12.639642598739485</x:v>
      </x:c>
      <x:c r="J219" s="83" t="n">
        <x:v>10.4643</x:v>
      </x:c>
    </x:row>
    <x:row r="220">
      <x:c r="A220" s="78" t="n">
        <x:v>2021</x:v>
      </x:c>
      <x:c r="B220" s="79" t="str">
        <x:v>61610</x:v>
      </x:c>
      <x:c r="C220" s="18" t="str">
        <x:v>Devonport</x:v>
      </x:c>
      <x:c r="D220" s="18" t="str">
        <x:v>Tasmania</x:v>
      </x:c>
      <x:c r="E220" s="80" t="n">
        <x:v>44</x:v>
      </x:c>
      <x:c r="F220" s="80" t="n">
        <x:v>11207</x:v>
      </x:c>
      <x:c r="G220" s="81" t="n">
        <x:f>E220/F220</x:f>
        <x:v>0.003926117605068261</x:v>
      </x:c>
      <x:c r="H220" s="82" t="n">
        <x:v>146.31189948751754</x:v>
      </x:c>
      <x:c r="I220" s="82" t="n">
        <x:v>-41.20869694282816</x:v>
      </x:c>
      <x:c r="J220" s="83" t="n">
        <x:v>111.259</x:v>
      </x:c>
    </x:row>
    <x:row r="221">
      <x:c r="A221" s="78" t="n">
        <x:v>2021</x:v>
      </x:c>
      <x:c r="B221" s="79" t="str">
        <x:v>33620</x:v>
      </x:c>
      <x:c r="C221" s="18" t="str">
        <x:v>Gympie</x:v>
      </x:c>
      <x:c r="D221" s="18" t="str">
        <x:v>Queensland</x:v>
      </x:c>
      <x:c r="E221" s="80" t="n">
        <x:v>44</x:v>
      </x:c>
      <x:c r="F221" s="80" t="n">
        <x:v>20351</x:v>
      </x:c>
      <x:c r="G221" s="81" t="n">
        <x:f>E221/F221</x:f>
        <x:v>0.0021620559186280772</x:v>
      </x:c>
      <x:c r="H221" s="82" t="n">
        <x:v>152.46363515782903</x:v>
      </x:c>
      <x:c r="I221" s="82" t="n">
        <x:v>-26.14703748504047</x:v>
      </x:c>
      <x:c r="J221" s="83" t="n">
        <x:v>6883.9781</x:v>
      </x:c>
    </x:row>
    <x:row r="222">
      <x:c r="A222" s="78" t="n">
        <x:v>2021</x:v>
      </x:c>
      <x:c r="B222" s="79" t="str">
        <x:v>33980</x:v>
      </x:c>
      <x:c r="C222" s="18" t="str">
        <x:v>Isaac</x:v>
      </x:c>
      <x:c r="D222" s="18" t="str">
        <x:v>Queensland</x:v>
      </x:c>
      <x:c r="E222" s="80" t="n">
        <x:v>44</x:v>
      </x:c>
      <x:c r="F222" s="80" t="n">
        <x:v>10624</x:v>
      </x:c>
      <x:c r="G222" s="81" t="n">
        <x:f>E222/F222</x:f>
        <x:v>0.004141566265060241</x:v>
      </x:c>
      <x:c r="H222" s="82" t="n">
        <x:v>147.8918516675166</x:v>
      </x:c>
      <x:c r="I222" s="82" t="n">
        <x:v>-22.238101583077864</x:v>
      </x:c>
      <x:c r="J222" s="83" t="n">
        <x:v>58707.9192</x:v>
      </x:c>
    </x:row>
    <x:row r="223">
      <x:c r="A223" s="78" t="n">
        <x:v>2021</x:v>
      </x:c>
      <x:c r="B223" s="79" t="str">
        <x:v>30370</x:v>
      </x:c>
      <x:c r="C223" s="18" t="str">
        <x:v>Banana</x:v>
      </x:c>
      <x:c r="D223" s="18" t="str">
        <x:v>Queensland</x:v>
      </x:c>
      <x:c r="E223" s="80" t="n">
        <x:v>43</x:v>
      </x:c>
      <x:c r="F223" s="80" t="n">
        <x:v>7053</x:v>
      </x:c>
      <x:c r="G223" s="81" t="n">
        <x:f>E223/F223</x:f>
        <x:v>0.006096696441230682</x:v>
      </x:c>
      <x:c r="H223" s="82" t="n">
        <x:v>149.93870350852845</x:v>
      </x:c>
      <x:c r="I223" s="82" t="n">
        <x:v>-24.93516691101889</x:v>
      </x:c>
      <x:c r="J223" s="83" t="n">
        <x:v>28550.1626</x:v>
      </x:c>
    </x:row>
    <x:row r="224">
      <x:c r="A224" s="78" t="n">
        <x:v>2021</x:v>
      </x:c>
      <x:c r="B224" s="79" t="str">
        <x:v>51540</x:v>
      </x:c>
      <x:c r="C224" s="18" t="str">
        <x:v>Carnarvon</x:v>
      </x:c>
      <x:c r="D224" s="18" t="str">
        <x:v>Western Australia</x:v>
      </x:c>
      <x:c r="E224" s="80" t="n">
        <x:v>43</x:v>
      </x:c>
      <x:c r="F224" s="80" t="n">
        <x:v>2279</x:v>
      </x:c>
      <x:c r="G224" s="81" t="n">
        <x:f>E224/F224</x:f>
        <x:v>0.018867924528301886</x:v>
      </x:c>
      <x:c r="H224" s="82" t="n">
        <x:v>114.39102714741155</x:v>
      </x:c>
      <x:c r="I224" s="82" t="n">
        <x:v>-24.349964825926506</x:v>
      </x:c>
      <x:c r="J224" s="83" t="n">
        <x:v>46574.705</x:v>
      </x:c>
    </x:row>
    <x:row r="225">
      <x:c r="A225" s="78" t="n">
        <x:v>2021</x:v>
      </x:c>
      <x:c r="B225" s="79" t="str">
        <x:v>53150</x:v>
      </x:c>
      <x:c r="C225" s="18" t="str">
        <x:v>East Fremantle</x:v>
      </x:c>
      <x:c r="D225" s="18" t="str">
        <x:v>Western Australia</x:v>
      </x:c>
      <x:c r="E225" s="80" t="n">
        <x:v>43</x:v>
      </x:c>
      <x:c r="F225" s="80" t="n">
        <x:v>4016</x:v>
      </x:c>
      <x:c r="G225" s="81" t="n">
        <x:f>E225/F225</x:f>
        <x:v>0.010707171314741035</x:v>
      </x:c>
      <x:c r="H225" s="82" t="n">
        <x:v>115.76816717748626</x:v>
      </x:c>
      <x:c r="I225" s="82" t="n">
        <x:v>-32.03794015969089</x:v>
      </x:c>
      <x:c r="J225" s="83" t="n">
        <x:v>3.1384</x:v>
      </x:c>
    </x:row>
    <x:row r="226">
      <x:c r="A226" s="78" t="n">
        <x:v>2021</x:v>
      </x:c>
      <x:c r="B226" s="79" t="str">
        <x:v>20830</x:v>
      </x:c>
      <x:c r="C226" s="18" t="str">
        <x:v>Baw Baw</x:v>
      </x:c>
      <x:c r="D226" s="18" t="str">
        <x:v>Victoria</x:v>
      </x:c>
      <x:c r="E226" s="80" t="n">
        <x:v>42</x:v>
      </x:c>
      <x:c r="F226" s="80" t="n">
        <x:v>26602</x:v>
      </x:c>
      <x:c r="G226" s="81" t="n">
        <x:f>E226/F226</x:f>
        <x:v>0.0015788286594992857</x:v>
      </x:c>
      <x:c r="H226" s="82" t="n">
        <x:v>146.13150270626335</x:v>
      </x:c>
      <x:c r="I226" s="82" t="n">
        <x:v>-37.98399912560132</x:v>
      </x:c>
      <x:c r="J226" s="83" t="n">
        <x:v>4027.6287</x:v>
      </x:c>
    </x:row>
    <x:row r="227">
      <x:c r="A227" s="78" t="n">
        <x:v>2021</x:v>
      </x:c>
      <x:c r="B227" s="79" t="str">
        <x:v>53990</x:v>
      </x:c>
      <x:c r="C227" s="18" t="str">
        <x:v>Harvey</x:v>
      </x:c>
      <x:c r="D227" s="18" t="str">
        <x:v>Western Australia</x:v>
      </x:c>
      <x:c r="E227" s="80" t="n">
        <x:v>42</x:v>
      </x:c>
      <x:c r="F227" s="80" t="n">
        <x:v>13484</x:v>
      </x:c>
      <x:c r="G227" s="81" t="n">
        <x:f>E227/F227</x:f>
        <x:v>0.0031148027291604866</x:v>
      </x:c>
      <x:c r="H227" s="82" t="n">
        <x:v>115.91249555620966</x:v>
      </x:c>
      <x:c r="I227" s="82" t="n">
        <x:v>-33.101104812438365</x:v>
      </x:c>
      <x:c r="J227" s="83" t="n">
        <x:v>1727.607</x:v>
      </x:c>
    </x:row>
    <x:row r="228">
      <x:c r="A228" s="78" t="n">
        <x:v>2021</x:v>
      </x:c>
      <x:c r="B228" s="79" t="str">
        <x:v>26170</x:v>
      </x:c>
      <x:c r="C228" s="18" t="str">
        <x:v>South Gippsland</x:v>
      </x:c>
      <x:c r="D228" s="18" t="str">
        <x:v>Victoria</x:v>
      </x:c>
      <x:c r="E228" s="80" t="n">
        <x:v>42</x:v>
      </x:c>
      <x:c r="F228" s="80" t="n">
        <x:v>13607</x:v>
      </x:c>
      <x:c r="G228" s="81" t="n">
        <x:f>E228/F228</x:f>
        <x:v>0.0030866465789667085</x:v>
      </x:c>
      <x:c r="H228" s="82" t="n">
        <x:v>146.07599188629925</x:v>
      </x:c>
      <x:c r="I228" s="82" t="n">
        <x:v>-38.621377103456624</x:v>
      </x:c>
      <x:c r="J228" s="83" t="n">
        <x:v>3296.3307</x:v>
      </x:c>
    </x:row>
    <x:row r="229">
      <x:c r="A229" s="78" t="n">
        <x:v>2021</x:v>
      </x:c>
      <x:c r="B229" s="79" t="str">
        <x:v>13450</x:v>
      </x:c>
      <x:c r="C229" s="18" t="str">
        <x:v>Griffith</x:v>
      </x:c>
      <x:c r="D229" s="18" t="str">
        <x:v>New South Wales</x:v>
      </x:c>
      <x:c r="E229" s="80" t="n">
        <x:v>41</x:v>
      </x:c>
      <x:c r="F229" s="80" t="n">
        <x:v>13690</x:v>
      </x:c>
      <x:c r="G229" s="81" t="n">
        <x:f>E229/F229</x:f>
        <x:v>0.0029948867786705625</x:v>
      </x:c>
      <x:c r="H229" s="82" t="n">
        <x:v>146.00358789419718</x:v>
      </x:c>
      <x:c r="I229" s="82" t="n">
        <x:v>-34.30041046685534</x:v>
      </x:c>
      <x:c r="J229" s="83" t="n">
        <x:v>1639.1732</x:v>
      </x:c>
    </x:row>
    <x:row r="230">
      <x:c r="A230" s="78" t="n">
        <x:v>2021</x:v>
      </x:c>
      <x:c r="B230" s="79" t="str">
        <x:v>65810</x:v>
      </x:c>
      <x:c r="C230" s="18" t="str">
        <x:v>West Tamar</x:v>
      </x:c>
      <x:c r="D230" s="18" t="str">
        <x:v>Tasmania</x:v>
      </x:c>
      <x:c r="E230" s="80" t="n">
        <x:v>41</x:v>
      </x:c>
      <x:c r="F230" s="80" t="n">
        <x:v>11506</x:v>
      </x:c>
      <x:c r="G230" s="81" t="n">
        <x:f>E230/F230</x:f>
        <x:v>0.0035633582478706762</x:v>
      </x:c>
      <x:c r="H230" s="82" t="n">
        <x:v>146.86439724330248</x:v>
      </x:c>
      <x:c r="I230" s="82" t="n">
        <x:v>-41.28164157512241</x:v>
      </x:c>
      <x:c r="J230" s="83" t="n">
        <x:v>691.1537</x:v>
      </x:c>
    </x:row>
    <x:row r="231">
      <x:c r="A231" s="78" t="n">
        <x:v>2021</x:v>
      </x:c>
      <x:c r="B231" s="79" t="str">
        <x:v>57280</x:v>
      </x:c>
      <x:c r="C231" s="18" t="str">
        <x:v>Port Hedland</x:v>
      </x:c>
      <x:c r="D231" s="18" t="str">
        <x:v>Western Australia</x:v>
      </x:c>
      <x:c r="E231" s="80" t="n">
        <x:v>40</x:v>
      </x:c>
      <x:c r="F231" s="80" t="n">
        <x:v>7782</x:v>
      </x:c>
      <x:c r="G231" s="81" t="n">
        <x:f>E231/F231</x:f>
        <x:v>0.005140066820868671</x:v>
      </x:c>
      <x:c r="H231" s="82" t="n">
        <x:v>118.67320352253226</x:v>
      </x:c>
      <x:c r="I231" s="82" t="n">
        <x:v>-20.92912306070998</x:v>
      </x:c>
      <x:c r="J231" s="83" t="n">
        <x:v>18417.0777</x:v>
      </x:c>
    </x:row>
    <x:row r="232">
      <x:c r="A232" s="78" t="n">
        <x:v>2021</x:v>
      </x:c>
      <x:c r="B232" s="79" t="str">
        <x:v>14350</x:v>
      </x:c>
      <x:c r="C232" s="18" t="str">
        <x:v>Kempsey</x:v>
      </x:c>
      <x:c r="D232" s="18" t="str">
        <x:v>New South Wales</x:v>
      </x:c>
      <x:c r="E232" s="80" t="n">
        <x:v>39</x:v>
      </x:c>
      <x:c r="F232" s="80" t="n">
        <x:v>10665</x:v>
      </x:c>
      <x:c r="G232" s="81" t="n">
        <x:f>E232/F232</x:f>
        <x:v>0.0036568213783403658</x:v>
      </x:c>
      <x:c r="H232" s="82" t="n">
        <x:v>152.64473312151293</x:v>
      </x:c>
      <x:c r="I232" s="82" t="n">
        <x:v>-30.951546596756323</x:v>
      </x:c>
      <x:c r="J232" s="83" t="n">
        <x:v>3375.6704</x:v>
      </x:c>
    </x:row>
    <x:row r="233">
      <x:c r="A233" s="78" t="n">
        <x:v>2021</x:v>
      </x:c>
      <x:c r="B233" s="79" t="str">
        <x:v>34530</x:v>
      </x:c>
      <x:c r="C233" s="18" t="str">
        <x:v>Livingstone</x:v>
      </x:c>
      <x:c r="D233" s="18" t="str">
        <x:v>Queensland</x:v>
      </x:c>
      <x:c r="E233" s="80" t="n">
        <x:v>39</x:v>
      </x:c>
      <x:c r="F233" s="80" t="n">
        <x:v>17627</x:v>
      </x:c>
      <x:c r="G233" s="81" t="n">
        <x:f>E233/F233</x:f>
        <x:v>0.002212514891927157</x:v>
      </x:c>
      <x:c r="H233" s="82" t="n">
        <x:v>150.19347439083282</x:v>
      </x:c>
      <x:c r="I233" s="82" t="n">
        <x:v>-22.795984256217455</x:v>
      </x:c>
      <x:c r="J233" s="83" t="n">
        <x:v>11757.8686</x:v>
      </x:c>
    </x:row>
    <x:row r="234">
      <x:c r="A234" s="78" t="n">
        <x:v>2021</x:v>
      </x:c>
      <x:c r="B234" s="79" t="str">
        <x:v>40220</x:v>
      </x:c>
      <x:c r="C234" s="18" t="str">
        <x:v>Alexandrina</x:v>
      </x:c>
      <x:c r="D234" s="18" t="str">
        <x:v>South Australia</x:v>
      </x:c>
      <x:c r="E234" s="80" t="n">
        <x:v>38</x:v>
      </x:c>
      <x:c r="F234" s="80" t="n">
        <x:v>11456</x:v>
      </x:c>
      <x:c r="G234" s="81" t="n">
        <x:f>E234/F234</x:f>
        <x:v>0.0033170391061452514</x:v>
      </x:c>
      <x:c r="H234" s="82" t="n">
        <x:v>138.8783519995769</x:v>
      </x:c>
      <x:c r="I234" s="82" t="n">
        <x:v>-35.35191396946306</x:v>
      </x:c>
      <x:c r="J234" s="83" t="n">
        <x:v>1826.8067</x:v>
      </x:c>
    </x:row>
    <x:row r="235">
      <x:c r="A235" s="78" t="n">
        <x:v>2021</x:v>
      </x:c>
      <x:c r="B235" s="79" t="str">
        <x:v>21010</x:v>
      </x:c>
      <x:c r="C235" s="18" t="str">
        <x:v>Benalla</x:v>
      </x:c>
      <x:c r="D235" s="18" t="str">
        <x:v>Victoria</x:v>
      </x:c>
      <x:c r="E235" s="80" t="n">
        <x:v>38</x:v>
      </x:c>
      <x:c r="F235" s="80" t="n">
        <x:v>6251</x:v>
      </x:c>
      <x:c r="G235" s="81" t="n">
        <x:f>E235/F235</x:f>
        <x:v>0.0060790273556231</x:v>
      </x:c>
      <x:c r="H235" s="82" t="n">
        <x:v>146.02376158389075</x:v>
      </x:c>
      <x:c r="I235" s="82" t="n">
        <x:v>-36.587002965907566</x:v>
      </x:c>
      <x:c r="J235" s="83" t="n">
        <x:v>2352.6398</x:v>
      </x:c>
    </x:row>
    <x:row r="236">
      <x:c r="A236" s="78" t="n">
        <x:v>2021</x:v>
      </x:c>
      <x:c r="B236" s="79" t="str">
        <x:v>10600</x:v>
      </x:c>
      <x:c r="C236" s="18" t="str">
        <x:v>Bellingen</x:v>
      </x:c>
      <x:c r="D236" s="18" t="str">
        <x:v>New South Wales</x:v>
      </x:c>
      <x:c r="E236" s="80" t="n">
        <x:v>37</x:v>
      </x:c>
      <x:c r="F236" s="80" t="n">
        <x:v>5365</x:v>
      </x:c>
      <x:c r="G236" s="81" t="n">
        <x:f>E236/F236</x:f>
        <x:v>0.006896551724137931</x:v>
      </x:c>
      <x:c r="H236" s="82" t="n">
        <x:v>152.7285906590861</x:v>
      </x:c>
      <x:c r="I236" s="82" t="n">
        <x:v>-30.40380234007882</x:v>
      </x:c>
      <x:c r="J236" s="83" t="n">
        <x:v>1600.4338</x:v>
      </x:c>
    </x:row>
    <x:row r="237">
      <x:c r="A237" s="78" t="n">
        <x:v>2021</x:v>
      </x:c>
      <x:c r="B237" s="79" t="str">
        <x:v>31900</x:v>
      </x:c>
      <x:c r="C237" s="18" t="str">
        <x:v>Burdekin</x:v>
      </x:c>
      <x:c r="D237" s="18" t="str">
        <x:v>Queensland</x:v>
      </x:c>
      <x:c r="E237" s="80" t="n">
        <x:v>37</x:v>
      </x:c>
      <x:c r="F237" s="80" t="n">
        <x:v>7742</x:v>
      </x:c>
      <x:c r="G237" s="81" t="n">
        <x:f>E237/F237</x:f>
        <x:v>0.004779126840609662</x:v>
      </x:c>
      <x:c r="H237" s="82" t="n">
        <x:v>147.24310541121977</x:v>
      </x:c>
      <x:c r="I237" s="82" t="n">
        <x:v>-19.82358277029329</x:v>
      </x:c>
      <x:c r="J237" s="83" t="n">
        <x:v>5043.9318</x:v>
      </x:c>
    </x:row>
    <x:row r="238">
      <x:c r="A238" s="78" t="n">
        <x:v>2021</x:v>
      </x:c>
      <x:c r="B238" s="79" t="str">
        <x:v>44550</x:v>
      </x:c>
      <x:c r="C238" s="18" t="str">
        <x:v>Mount Barker</x:v>
      </x:c>
      <x:c r="D238" s="18" t="str">
        <x:v>South Australia</x:v>
      </x:c>
      <x:c r="E238" s="80" t="n">
        <x:v>37</x:v>
      </x:c>
      <x:c r="F238" s="80" t="n">
        <x:v>20081</x:v>
      </x:c>
      <x:c r="G238" s="81" t="n">
        <x:f>E238/F238</x:f>
        <x:v>0.0018425377222249888</x:v>
      </x:c>
      <x:c r="H238" s="82" t="n">
        <x:v>138.87500438164852</x:v>
      </x:c>
      <x:c r="I238" s="82" t="n">
        <x:v>-35.08580933420987</x:v>
      </x:c>
      <x:c r="J238" s="83" t="n">
        <x:v>594.6406</x:v>
      </x:c>
    </x:row>
    <x:row r="239">
      <x:c r="A239" s="78" t="n">
        <x:v>2021</x:v>
      </x:c>
      <x:c r="B239" s="79" t="str">
        <x:v>15520</x:v>
      </x:c>
      <x:c r="C239" s="18" t="str">
        <x:v>Murray River</x:v>
      </x:c>
      <x:c r="D239" s="18" t="str">
        <x:v>New South Wales</x:v>
      </x:c>
      <x:c r="E239" s="80" t="n">
        <x:v>37</x:v>
      </x:c>
      <x:c r="F239" s="80" t="n">
        <x:v>5646</x:v>
      </x:c>
      <x:c r="G239" s="81" t="n">
        <x:f>E239/F239</x:f>
        <x:v>0.0065533120793482115</x:v>
      </x:c>
      <x:c r="H239" s="82" t="n">
        <x:v>144.2116411199639</x:v>
      </x:c>
      <x:c r="I239" s="82" t="n">
        <x:v>-35.32471098758163</x:v>
      </x:c>
      <x:c r="J239" s="83" t="n">
        <x:v>11863.0162</x:v>
      </x:c>
    </x:row>
    <x:row r="240">
      <x:c r="A240" s="78" t="n">
        <x:v>2021</x:v>
      </x:c>
      <x:c r="B240" s="79" t="str">
        <x:v>11720</x:v>
      </x:c>
      <x:c r="C240" s="18" t="str">
        <x:v>Cessnock</x:v>
      </x:c>
      <x:c r="D240" s="18" t="str">
        <x:v>New South Wales</x:v>
      </x:c>
      <x:c r="E240" s="80" t="n">
        <x:v>36</x:v>
      </x:c>
      <x:c r="F240" s="80" t="n">
        <x:v>27120</x:v>
      </x:c>
      <x:c r="G240" s="81" t="n">
        <x:f>E240/F240</x:f>
        <x:v>0.001327433628318584</x:v>
      </x:c>
      <x:c r="H240" s="82" t="n">
        <x:v>151.2248999159628</x:v>
      </x:c>
      <x:c r="I240" s="82" t="n">
        <x:v>-32.925068143607945</x:v>
      </x:c>
      <x:c r="J240" s="83" t="n">
        <x:v>1965.1593</x:v>
      </x:c>
    </x:row>
    <x:row r="241">
      <x:c r="A241" s="78" t="n">
        <x:v>2021</x:v>
      </x:c>
      <x:c r="B241" s="79" t="str">
        <x:v>25150</x:v>
      </x:c>
      <x:c r="C241" s="18" t="str">
        <x:v>Moorabool</x:v>
      </x:c>
      <x:c r="D241" s="18" t="str">
        <x:v>Victoria</x:v>
      </x:c>
      <x:c r="E241" s="80" t="n">
        <x:v>36</x:v>
      </x:c>
      <x:c r="F241" s="80" t="n">
        <x:v>18429</x:v>
      </x:c>
      <x:c r="G241" s="81" t="n">
        <x:f>E241/F241</x:f>
        <x:v>0.0019534429431873677</x:v>
      </x:c>
      <x:c r="H241" s="82" t="n">
        <x:v>144.21565036836463</x:v>
      </x:c>
      <x:c r="I241" s="82" t="n">
        <x:v>-37.63277513542678</x:v>
      </x:c>
      <x:c r="J241" s="83" t="n">
        <x:v>2110.5504</x:v>
      </x:c>
    </x:row>
    <x:row r="242">
      <x:c r="A242" s="78" t="n">
        <x:v>2021</x:v>
      </x:c>
      <x:c r="B242" s="79" t="str">
        <x:v>36510</x:v>
      </x:c>
      <x:c r="C242" s="18" t="str">
        <x:v>Scenic Rim</x:v>
      </x:c>
      <x:c r="D242" s="18" t="str">
        <x:v>Queensland</x:v>
      </x:c>
      <x:c r="E242" s="80" t="n">
        <x:v>36</x:v>
      </x:c>
      <x:c r="F242" s="80" t="n">
        <x:v>18769</x:v>
      </x:c>
      <x:c r="G242" s="81" t="n">
        <x:f>E242/F242</x:f>
        <x:v>0.0019180563695455272</x:v>
      </x:c>
      <x:c r="H242" s="82" t="n">
        <x:v>152.79620684430014</x:v>
      </x:c>
      <x:c r="I242" s="82" t="n">
        <x:v>-28.06233960400469</x:v>
      </x:c>
      <x:c r="J242" s="83" t="n">
        <x:v>4243.0014</x:v>
      </x:c>
    </x:row>
    <x:row r="243">
      <x:c r="A243" s="78" t="n">
        <x:v>2021</x:v>
      </x:c>
      <x:c r="B243" s="79" t="str">
        <x:v>21830</x:v>
      </x:c>
      <x:c r="C243" s="18" t="str">
        <x:v>Corangamite</x:v>
      </x:c>
      <x:c r="D243" s="18" t="str">
        <x:v>Victoria</x:v>
      </x:c>
      <x:c r="E243" s="80" t="n">
        <x:v>35</x:v>
      </x:c>
      <x:c r="F243" s="80" t="n">
        <x:v>7583</x:v>
      </x:c>
      <x:c r="G243" s="81" t="n">
        <x:f>E243/F243</x:f>
        <x:v>0.004615587498351576</x:v>
      </x:c>
      <x:c r="H243" s="82" t="n">
        <x:v>143.19865120115423</x:v>
      </x:c>
      <x:c r="I243" s="82" t="n">
        <x:v>-38.204323310760515</x:v>
      </x:c>
      <x:c r="J243" s="83" t="n">
        <x:v>4407.492</x:v>
      </x:c>
    </x:row>
    <x:row r="244">
      <x:c r="A244" s="78" t="n">
        <x:v>2021</x:v>
      </x:c>
      <x:c r="B244" s="79" t="str">
        <x:v>22410</x:v>
      </x:c>
      <x:c r="C244" s="18" t="str">
        <x:v>Glenelg</x:v>
      </x:c>
      <x:c r="D244" s="18" t="str">
        <x:v>Victoria</x:v>
      </x:c>
      <x:c r="E244" s="80" t="n">
        <x:v>35</x:v>
      </x:c>
      <x:c r="F244" s="80" t="n">
        <x:v>8834</x:v>
      </x:c>
      <x:c r="G244" s="81" t="n">
        <x:f>E244/F244</x:f>
        <x:v>0.003961965134706815</x:v>
      </x:c>
      <x:c r="H244" s="82" t="n">
        <x:v>141.38571382245857</x:v>
      </x:c>
      <x:c r="I244" s="82" t="n">
        <x:v>-37.87049714930188</x:v>
      </x:c>
      <x:c r="J244" s="83" t="n">
        <x:v>6218.7884</x:v>
      </x:c>
    </x:row>
    <x:row r="245">
      <x:c r="A245" s="78" t="n">
        <x:v>2021</x:v>
      </x:c>
      <x:c r="B245" s="79" t="str">
        <x:v>26260</x:v>
      </x:c>
      <x:c r="C245" s="18" t="str">
        <x:v>Southern Grampians</x:v>
      </x:c>
      <x:c r="D245" s="18" t="str">
        <x:v>Victoria</x:v>
      </x:c>
      <x:c r="E245" s="80" t="n">
        <x:v>35</x:v>
      </x:c>
      <x:c r="F245" s="80" t="n">
        <x:v>7720</x:v>
      </x:c>
      <x:c r="G245" s="81" t="n">
        <x:f>E245/F245</x:f>
        <x:v>0.0045336787564766836</x:v>
      </x:c>
      <x:c r="H245" s="82" t="n">
        <x:v>142.03309397321812</x:v>
      </x:c>
      <x:c r="I245" s="82" t="n">
        <x:v>-37.536533340151664</x:v>
      </x:c>
      <x:c r="J245" s="83" t="n">
        <x:v>6654.0186</x:v>
      </x:c>
    </x:row>
    <x:row r="246">
      <x:c r="A246" s="78" t="n">
        <x:v>2021</x:v>
      </x:c>
      <x:c r="B246" s="79" t="str">
        <x:v>70420</x:v>
      </x:c>
      <x:c r="C246" s="18" t="str">
        <x:v>Barkly</x:v>
      </x:c>
      <x:c r="D246" s="18" t="str">
        <x:v>Northern Territory</x:v>
      </x:c>
      <x:c r="E246" s="80" t="n">
        <x:v>34</x:v>
      </x:c>
      <x:c r="F246" s="80" t="n">
        <x:v>1904</x:v>
      </x:c>
      <x:c r="G246" s="81" t="n">
        <x:f>E246/F246</x:f>
        <x:v>0.017857142857142856</x:v>
      </x:c>
      <x:c r="H246" s="82" t="n">
        <x:v>135.0847207626782</x:v>
      </x:c>
      <x:c r="I246" s="82" t="n">
        <x:v>-19.444088349651462</x:v>
      </x:c>
      <x:c r="J246" s="83" t="n">
        <x:v>322710.4145</x:v>
      </x:c>
    </x:row>
    <x:row r="247">
      <x:c r="A247" s="78" t="n">
        <x:v>2021</x:v>
      </x:c>
      <x:c r="B247" s="79" t="str">
        <x:v>12870</x:v>
      </x:c>
      <x:c r="C247" s="18" t="str">
        <x:v>Federation</x:v>
      </x:c>
      <x:c r="D247" s="18" t="str">
        <x:v>New South Wales</x:v>
      </x:c>
      <x:c r="E247" s="80" t="n">
        <x:v>34</x:v>
      </x:c>
      <x:c r="F247" s="80" t="n">
        <x:v>5466</x:v>
      </x:c>
      <x:c r="G247" s="81" t="n">
        <x:f>E247/F247</x:f>
        <x:v>0.0062202707647274055</x:v>
      </x:c>
      <x:c r="H247" s="82" t="n">
        <x:v>146.2713661419368</x:v>
      </x:c>
      <x:c r="I247" s="82" t="n">
        <x:v>-35.49705592368775</x:v>
      </x:c>
      <x:c r="J247" s="83" t="n">
        <x:v>5684.9253</x:v>
      </x:c>
    </x:row>
    <x:row r="248">
      <x:c r="A248" s="78" t="n">
        <x:v>2021</x:v>
      </x:c>
      <x:c r="B248" s="79" t="str">
        <x:v>18350</x:v>
      </x:c>
      <x:c r="C248" s="18" t="str">
        <x:v>Wingecarribee</x:v>
      </x:c>
      <x:c r="D248" s="18" t="str">
        <x:v>New South Wales</x:v>
      </x:c>
      <x:c r="E248" s="80" t="n">
        <x:v>33</x:v>
      </x:c>
      <x:c r="F248" s="80" t="n">
        <x:v>23960</x:v>
      </x:c>
      <x:c r="G248" s="81" t="n">
        <x:f>E248/F248</x:f>
        <x:v>0.0013772954924874791</x:v>
      </x:c>
      <x:c r="H248" s="82" t="n">
        <x:v>150.35625908949785</x:v>
      </x:c>
      <x:c r="I248" s="82" t="n">
        <x:v>-34.476936893919905</x:v>
      </x:c>
      <x:c r="J248" s="83" t="n">
        <x:v>2689.3415</x:v>
      </x:c>
    </x:row>
    <x:row r="249">
      <x:c r="A249" s="78" t="n">
        <x:v>2021</x:v>
      </x:c>
      <x:c r="B249" s="79" t="str">
        <x:v>13310</x:v>
      </x:c>
      <x:c r="C249" s="18" t="str">
        <x:v>Goulburn Mulwaree</x:v>
      </x:c>
      <x:c r="D249" s="18" t="str">
        <x:v>New South Wales</x:v>
      </x:c>
      <x:c r="E249" s="80" t="n">
        <x:v>32</x:v>
      </x:c>
      <x:c r="F249" s="80" t="n">
        <x:v>14350</x:v>
      </x:c>
      <x:c r="G249" s="81" t="n">
        <x:f>E249/F249</x:f>
        <x:v>0.002229965156794425</x:v>
      </x:c>
      <x:c r="H249" s="82" t="n">
        <x:v>149.81349141724726</x:v>
      </x:c>
      <x:c r="I249" s="82" t="n">
        <x:v>-34.876039560038876</x:v>
      </x:c>
      <x:c r="J249" s="83" t="n">
        <x:v>3220.0796</x:v>
      </x:c>
    </x:row>
    <x:row r="250">
      <x:c r="A250" s="78" t="n">
        <x:v>2021</x:v>
      </x:c>
      <x:c r="B250" s="79" t="str">
        <x:v>48050</x:v>
      </x:c>
      <x:c r="C250" s="18" t="str">
        <x:v>Victor Harbor</x:v>
      </x:c>
      <x:c r="D250" s="18" t="str">
        <x:v>South Australia</x:v>
      </x:c>
      <x:c r="E250" s="80" t="n">
        <x:v>32</x:v>
      </x:c>
      <x:c r="F250" s="80" t="n">
        <x:v>5378</x:v>
      </x:c>
      <x:c r="G250" s="81" t="n">
        <x:f>E250/F250</x:f>
        <x:v>0.005950167348456675</x:v>
      </x:c>
      <x:c r="H250" s="82" t="n">
        <x:v>138.54616146814678</x:v>
      </x:c>
      <x:c r="I250" s="82" t="n">
        <x:v>-35.51278989134003</x:v>
      </x:c>
      <x:c r="J250" s="83" t="n">
        <x:v>384.6255</x:v>
      </x:c>
    </x:row>
    <x:row r="251">
      <x:c r="A251" s="78" t="n">
        <x:v>2021</x:v>
      </x:c>
      <x:c r="B251" s="79" t="str">
        <x:v>51400</x:v>
      </x:c>
      <x:c r="C251" s="18" t="str">
        <x:v>Capel</x:v>
      </x:c>
      <x:c r="D251" s="18" t="str">
        <x:v>Western Australia</x:v>
      </x:c>
      <x:c r="E251" s="80" t="n">
        <x:v>31</x:v>
      </x:c>
      <x:c r="F251" s="80" t="n">
        <x:v>9068</x:v>
      </x:c>
      <x:c r="G251" s="81" t="n">
        <x:f>E251/F251</x:f>
        <x:v>0.0034186149095721216</x:v>
      </x:c>
      <x:c r="H251" s="82" t="n">
        <x:v>115.6357198274759</x:v>
      </x:c>
      <x:c r="I251" s="82" t="n">
        <x:v>-33.53235059517235</x:v>
      </x:c>
      <x:c r="J251" s="83" t="n">
        <x:v>557.8983</x:v>
      </x:c>
    </x:row>
    <x:row r="252">
      <x:c r="A252" s="78" t="n">
        <x:v>2021</x:v>
      </x:c>
      <x:c r="B252" s="79" t="str">
        <x:v>22250</x:v>
      </x:c>
      <x:c r="C252" s="18" t="str">
        <x:v>Gannawarra</x:v>
      </x:c>
      <x:c r="D252" s="18" t="str">
        <x:v>Victoria</x:v>
      </x:c>
      <x:c r="E252" s="80" t="n">
        <x:v>31</x:v>
      </x:c>
      <x:c r="F252" s="80" t="n">
        <x:v>4391</x:v>
      </x:c>
      <x:c r="G252" s="81" t="n">
        <x:f>E252/F252</x:f>
        <x:v>0.007059895240264177</x:v>
      </x:c>
      <x:c r="H252" s="82" t="n">
        <x:v>143.8039706243307</x:v>
      </x:c>
      <x:c r="I252" s="82" t="n">
        <x:v>-35.75153363343669</x:v>
      </x:c>
      <x:c r="J252" s="83" t="n">
        <x:v>3737.5979</x:v>
      </x:c>
    </x:row>
    <x:row r="253">
      <x:c r="A253" s="78" t="n">
        <x:v>2021</x:v>
      </x:c>
      <x:c r="B253" s="79" t="str">
        <x:v>17040</x:v>
      </x:c>
      <x:c r="C253" s="18" t="str">
        <x:v>Snowy Monaro Regional</x:v>
      </x:c>
      <x:c r="D253" s="18" t="str">
        <x:v>New South Wales</x:v>
      </x:c>
      <x:c r="E253" s="80" t="n">
        <x:v>31</x:v>
      </x:c>
      <x:c r="F253" s="80" t="n">
        <x:v>11068</x:v>
      </x:c>
      <x:c r="G253" s="81" t="n">
        <x:f>E253/F253</x:f>
        <x:v>0.0028008673653776655</x:v>
      </x:c>
      <x:c r="H253" s="82" t="n">
        <x:v>148.95886839790873</x:v>
      </x:c>
      <x:c r="I253" s="82" t="n">
        <x:v>-36.3964752158815</x:v>
      </x:c>
      <x:c r="J253" s="83" t="n">
        <x:v>15164.7904</x:v>
      </x:c>
    </x:row>
    <x:row r="254">
      <x:c r="A254" s="78" t="n">
        <x:v>2021</x:v>
      </x:c>
      <x:c r="B254" s="79" t="str">
        <x:v>36820</x:v>
      </x:c>
      <x:c r="C254" s="18" t="str">
        <x:v>Tablelands</x:v>
      </x:c>
      <x:c r="D254" s="18" t="str">
        <x:v>Queensland</x:v>
      </x:c>
      <x:c r="E254" s="80" t="n">
        <x:v>31</x:v>
      </x:c>
      <x:c r="F254" s="80" t="n">
        <x:v>10605</x:v>
      </x:c>
      <x:c r="G254" s="81" t="n">
        <x:f>E254/F254</x:f>
        <x:v>0.002923149457802923</x:v>
      </x:c>
      <x:c r="H254" s="82" t="n">
        <x:v>145.3305340966864</x:v>
      </x:c>
      <x:c r="I254" s="82" t="n">
        <x:v>-17.930792744262515</x:v>
      </x:c>
      <x:c r="J254" s="83" t="n">
        <x:v>11292.8695</x:v>
      </x:c>
    </x:row>
    <x:row r="255">
      <x:c r="A255" s="78" t="n">
        <x:v>2021</x:v>
      </x:c>
      <x:c r="B255" s="79" t="str">
        <x:v>23350</x:v>
      </x:c>
      <x:c r="C255" s="18" t="str">
        <x:v>Indigo</x:v>
      </x:c>
      <x:c r="D255" s="18" t="str">
        <x:v>Victoria</x:v>
      </x:c>
      <x:c r="E255" s="80" t="n">
        <x:v>30</x:v>
      </x:c>
      <x:c r="F255" s="80" t="n">
        <x:v>8366</x:v>
      </x:c>
      <x:c r="G255" s="81" t="n">
        <x:f>E255/F255</x:f>
        <x:v>0.0035859431030360986</x:v>
      </x:c>
      <x:c r="H255" s="82" t="n">
        <x:v>146.7229497600728</x:v>
      </x:c>
      <x:c r="I255" s="82" t="n">
        <x:v>-36.22551810335455</x:v>
      </x:c>
      <x:c r="J255" s="83" t="n">
        <x:v>2040.471</x:v>
      </x:c>
    </x:row>
    <x:row r="256">
      <x:c r="A256" s="78" t="n">
        <x:v>2021</x:v>
      </x:c>
      <x:c r="B256" s="79" t="str">
        <x:v>11250</x:v>
      </x:c>
      <x:c r="C256" s="18" t="str">
        <x:v>Broken Hill</x:v>
      </x:c>
      <x:c r="D256" s="18" t="str">
        <x:v>New South Wales</x:v>
      </x:c>
      <x:c r="E256" s="80" t="n">
        <x:v>28</x:v>
      </x:c>
      <x:c r="F256" s="80" t="n">
        <x:v>7172</x:v>
      </x:c>
      <x:c r="G256" s="81" t="n">
        <x:f>E256/F256</x:f>
        <x:v>0.0039040713887339654</x:v>
      </x:c>
      <x:c r="H256" s="82" t="n">
        <x:v>141.4792679222589</x:v>
      </x:c>
      <x:c r="I256" s="82" t="n">
        <x:v>-31.94403571667127</x:v>
      </x:c>
      <x:c r="J256" s="83" t="n">
        <x:v>170.1153</x:v>
      </x:c>
    </x:row>
    <x:row r="257">
      <x:c r="A257" s="78" t="n">
        <x:v>2021</x:v>
      </x:c>
      <x:c r="B257" s="79" t="str">
        <x:v>34710</x:v>
      </x:c>
      <x:c r="C257" s="18" t="str">
        <x:v>Longreach</x:v>
      </x:c>
      <x:c r="D257" s="18" t="str">
        <x:v>Queensland</x:v>
      </x:c>
      <x:c r="E257" s="80" t="n">
        <x:v>28</x:v>
      </x:c>
      <x:c r="F257" s="80" t="n">
        <x:v>1914</x:v>
      </x:c>
      <x:c r="G257" s="81" t="n">
        <x:f>E257/F257</x:f>
        <x:v>0.014629049111807733</x:v>
      </x:c>
      <x:c r="H257" s="82" t="n">
        <x:v>143.9593190587197</x:v>
      </x:c>
      <x:c r="I257" s="82" t="n">
        <x:v>-23.718133908134106</x:v>
      </x:c>
      <x:c r="J257" s="83" t="n">
        <x:v>40572.2442</x:v>
      </x:c>
    </x:row>
    <x:row r="258">
      <x:c r="A258" s="78" t="n">
        <x:v>2021</x:v>
      </x:c>
      <x:c r="B258" s="79" t="str">
        <x:v>24250</x:v>
      </x:c>
      <x:c r="C258" s="18" t="str">
        <x:v>Mansfield</x:v>
      </x:c>
      <x:c r="D258" s="18" t="str">
        <x:v>Victoria</x:v>
      </x:c>
      <x:c r="E258" s="80" t="n">
        <x:v>28</x:v>
      </x:c>
      <x:c r="F258" s="80" t="n">
        <x:v>4610</x:v>
      </x:c>
      <x:c r="G258" s="81" t="n">
        <x:f>E258/F258</x:f>
        <x:v>0.006073752711496746</x:v>
      </x:c>
      <x:c r="H258" s="82" t="n">
        <x:v>146.20683574015746</x:v>
      </x:c>
      <x:c r="I258" s="82" t="n">
        <x:v>-37.2004270625048</x:v>
      </x:c>
      <x:c r="J258" s="83" t="n">
        <x:v>3843.8535</x:v>
      </x:c>
    </x:row>
    <x:row r="259">
      <x:c r="A259" s="78" t="n">
        <x:v>2021</x:v>
      </x:c>
      <x:c r="B259" s="79" t="str">
        <x:v>15270</x:v>
      </x:c>
      <x:c r="C259" s="18" t="str">
        <x:v>Mid-Western Regional</x:v>
      </x:c>
      <x:c r="D259" s="18" t="str">
        <x:v>New South Wales</x:v>
      </x:c>
      <x:c r="E259" s="80" t="n">
        <x:v>28</x:v>
      </x:c>
      <x:c r="F259" s="80" t="n">
        <x:v>11426</x:v>
      </x:c>
      <x:c r="G259" s="81" t="n">
        <x:f>E259/F259</x:f>
        <x:v>0.0024505513740591634</x:v>
      </x:c>
      <x:c r="H259" s="82" t="n">
        <x:v>149.7424205336692</x:v>
      </x:c>
      <x:c r="I259" s="82" t="n">
        <x:v>-32.59381056714719</x:v>
      </x:c>
      <x:c r="J259" s="83" t="n">
        <x:v>8752.2589</x:v>
      </x:c>
    </x:row>
    <x:row r="260">
      <x:c r="A260" s="78" t="n">
        <x:v>2021</x:v>
      </x:c>
      <x:c r="B260" s="79" t="str">
        <x:v>46300</x:v>
      </x:c>
      <x:c r="C260" s="18" t="str">
        <x:v>Port Lincoln</x:v>
      </x:c>
      <x:c r="D260" s="18" t="str">
        <x:v>South Australia</x:v>
      </x:c>
      <x:c r="E260" s="80" t="n">
        <x:v>28</x:v>
      </x:c>
      <x:c r="F260" s="80" t="n">
        <x:v>6509</x:v>
      </x:c>
      <x:c r="G260" s="81" t="n">
        <x:f>E260/F260</x:f>
        <x:v>0.00430173605776617</x:v>
      </x:c>
      <x:c r="H260" s="82" t="n">
        <x:v>135.85112852832438</x:v>
      </x:c>
      <x:c r="I260" s="82" t="n">
        <x:v>-34.72922123055843</x:v>
      </x:c>
      <x:c r="J260" s="83" t="n">
        <x:v>30.3681</x:v>
      </x:c>
    </x:row>
    <x:row r="261">
      <x:c r="A261" s="78" t="n">
        <x:v>2021</x:v>
      </x:c>
      <x:c r="B261" s="79" t="str">
        <x:v>36950</x:v>
      </x:c>
      <x:c r="C261" s="18" t="str">
        <x:v>Torres</x:v>
      </x:c>
      <x:c r="D261" s="18" t="str">
        <x:v>Queensland</x:v>
      </x:c>
      <x:c r="E261" s="80" t="n">
        <x:v>28</x:v>
      </x:c>
      <x:c r="F261" s="80" t="n">
        <x:v>1520</x:v>
      </x:c>
      <x:c r="G261" s="81" t="n">
        <x:f>E261/F261</x:f>
        <x:v>0.018421052631578946</x:v>
      </x:c>
      <x:c r="H261" s="82" t="n">
        <x:v>142.41227611972928</x:v>
      </x:c>
      <x:c r="I261" s="82" t="n">
        <x:v>-10.73116157407945</x:v>
      </x:c>
      <x:c r="J261" s="83" t="n">
        <x:v>883.7402</x:v>
      </x:c>
    </x:row>
    <x:row r="262">
      <x:c r="A262" s="78" t="n">
        <x:v>2021</x:v>
      </x:c>
      <x:c r="B262" s="79" t="str">
        <x:v>21670</x:v>
      </x:c>
      <x:c r="C262" s="18" t="str">
        <x:v>Central Goldfields</x:v>
      </x:c>
      <x:c r="D262" s="18" t="str">
        <x:v>Victoria</x:v>
      </x:c>
      <x:c r="E262" s="80" t="n">
        <x:v>27</x:v>
      </x:c>
      <x:c r="F262" s="80" t="n">
        <x:v>4693</x:v>
      </x:c>
      <x:c r="G262" s="81" t="n">
        <x:f>E262/F262</x:f>
        <x:v>0.00575324952056254</x:v>
      </x:c>
      <x:c r="H262" s="82" t="n">
        <x:v>143.7138406483077</x:v>
      </x:c>
      <x:c r="I262" s="82" t="n">
        <x:v>-37.00716245988598</x:v>
      </x:c>
      <x:c r="J262" s="83" t="n">
        <x:v>1532.7843</x:v>
      </x:c>
    </x:row>
    <x:row r="263">
      <x:c r="A263" s="78" t="n">
        <x:v>2021</x:v>
      </x:c>
      <x:c r="B263" s="79" t="str">
        <x:v>12730</x:v>
      </x:c>
      <x:c r="C263" s="18" t="str">
        <x:v>Edward River</x:v>
      </x:c>
      <x:c r="D263" s="18" t="str">
        <x:v>New South Wales</x:v>
      </x:c>
      <x:c r="E263" s="80" t="n">
        <x:v>27</x:v>
      </x:c>
      <x:c r="F263" s="80" t="n">
        <x:v>3773</x:v>
      </x:c>
      <x:c r="G263" s="81" t="n">
        <x:f>E263/F263</x:f>
        <x:v>0.0071561091969255235</x:v>
      </x:c>
      <x:c r="H263" s="82" t="n">
        <x:v>144.9414719183134</x:v>
      </x:c>
      <x:c r="I263" s="82" t="n">
        <x:v>-35.17254444607113</x:v>
      </x:c>
      <x:c r="J263" s="83" t="n">
        <x:v>8883.4463</x:v>
      </x:c>
    </x:row>
    <x:row r="264">
      <x:c r="A264" s="78" t="n">
        <x:v>2021</x:v>
      </x:c>
      <x:c r="B264" s="79" t="str">
        <x:v>33800</x:v>
      </x:c>
      <x:c r="C264" s="18" t="str">
        <x:v>Hinchinbrook</x:v>
      </x:c>
      <x:c r="D264" s="18" t="str">
        <x:v>Queensland</x:v>
      </x:c>
      <x:c r="E264" s="80" t="n">
        <x:v>27</x:v>
      </x:c>
      <x:c r="F264" s="80" t="n">
        <x:v>4671</x:v>
      </x:c>
      <x:c r="G264" s="81" t="n">
        <x:f>E264/F264</x:f>
        <x:v>0.005780346820809248</x:v>
      </x:c>
      <x:c r="H264" s="82" t="n">
        <x:v>146.04760884126267</x:v>
      </x:c>
      <x:c r="I264" s="82" t="n">
        <x:v>-18.66189496818902</x:v>
      </x:c>
      <x:c r="J264" s="83" t="n">
        <x:v>2807.1889</x:v>
      </x:c>
    </x:row>
    <x:row r="265">
      <x:c r="A265" s="78" t="n">
        <x:v>2021</x:v>
      </x:c>
      <x:c r="B265" s="79" t="str">
        <x:v>30410</x:v>
      </x:c>
      <x:c r="C265" s="18" t="str">
        <x:v>Barcaldine</x:v>
      </x:c>
      <x:c r="D265" s="18" t="str">
        <x:v>Queensland</x:v>
      </x:c>
      <x:c r="E265" s="80" t="n">
        <x:v>26</x:v>
      </x:c>
      <x:c r="F265" s="80" t="n">
        <x:v>1435</x:v>
      </x:c>
      <x:c r="G265" s="81" t="n">
        <x:f>E265/F265</x:f>
        <x:v>0.018118466898954706</x:v>
      </x:c>
      <x:c r="H265" s="82" t="n">
        <x:v>145.6934208680505</x:v>
      </x:c>
      <x:c r="I265" s="82" t="n">
        <x:v>-23.113687037338973</x:v>
      </x:c>
      <x:c r="J265" s="83" t="n">
        <x:v>53382.654</x:v>
      </x:c>
    </x:row>
    <x:row r="266">
      <x:c r="A266" s="78" t="n">
        <x:v>2021</x:v>
      </x:c>
      <x:c r="B266" s="79" t="str">
        <x:v>60610</x:v>
      </x:c>
      <x:c r="C266" s="18" t="str">
        <x:v>Burnie</x:v>
      </x:c>
      <x:c r="D266" s="18" t="str">
        <x:v>Tasmania</x:v>
      </x:c>
      <x:c r="E266" s="80" t="n">
        <x:v>26</x:v>
      </x:c>
      <x:c r="F266" s="80" t="n">
        <x:v>8736</x:v>
      </x:c>
      <x:c r="G266" s="81" t="n">
        <x:f>E266/F266</x:f>
        <x:v>0.002976190476190476</x:v>
      </x:c>
      <x:c r="H266" s="82" t="n">
        <x:v>145.80619365788974</x:v>
      </x:c>
      <x:c r="I266" s="82" t="n">
        <x:v>-41.21605782980747</x:v>
      </x:c>
      <x:c r="J266" s="83" t="n">
        <x:v>610.9528</x:v>
      </x:c>
    </x:row>
    <x:row r="267">
      <x:c r="A267" s="78" t="n">
        <x:v>2021</x:v>
      </x:c>
      <x:c r="B267" s="79" t="str">
        <x:v>60810</x:v>
      </x:c>
      <x:c r="C267" s="18" t="str">
        <x:v>Central Coast (Tas.)</x:v>
      </x:c>
      <x:c r="D267" s="18" t="str">
        <x:v>Tasmania</x:v>
      </x:c>
      <x:c r="E267" s="80" t="n">
        <x:v>26</x:v>
      </x:c>
      <x:c r="F267" s="80" t="n">
        <x:v>9989</x:v>
      </x:c>
      <x:c r="G267" s="81" t="n">
        <x:f>E267/F267</x:f>
        <x:v>0.002602863149464411</x:v>
      </x:c>
      <x:c r="H267" s="82" t="n">
        <x:v>146.04002334699456</x:v>
      </x:c>
      <x:c r="I267" s="82" t="n">
        <x:v>-41.281247680194916</x:v>
      </x:c>
      <x:c r="J267" s="83" t="n">
        <x:v>933.0891</x:v>
      </x:c>
    </x:row>
    <x:row r="268">
      <x:c r="A268" s="78" t="n">
        <x:v>2021</x:v>
      </x:c>
      <x:c r="B268" s="79" t="str">
        <x:v>14400</x:v>
      </x:c>
      <x:c r="C268" s="18" t="str">
        <x:v>Kiama</x:v>
      </x:c>
      <x:c r="D268" s="18" t="str">
        <x:v>New South Wales</x:v>
      </x:c>
      <x:c r="E268" s="80" t="n">
        <x:v>26</x:v>
      </x:c>
      <x:c r="F268" s="80" t="n">
        <x:v>10213</x:v>
      </x:c>
      <x:c r="G268" s="81" t="n">
        <x:f>E268/F268</x:f>
        <x:v>0.002545774992656418</x:v>
      </x:c>
      <x:c r="H268" s="82" t="n">
        <x:v>150.75622425165278</x:v>
      </x:c>
      <x:c r="I268" s="82" t="n">
        <x:v>-34.67887065073116</x:v>
      </x:c>
      <x:c r="J268" s="83" t="n">
        <x:v>257.6638</x:v>
      </x:c>
    </x:row>
    <x:row r="269">
      <x:c r="A269" s="78" t="n">
        <x:v>2021</x:v>
      </x:c>
      <x:c r="B269" s="79" t="str">
        <x:v>25490</x:v>
      </x:c>
      <x:c r="C269" s="18" t="str">
        <x:v>Moyne</x:v>
      </x:c>
      <x:c r="D269" s="18" t="str">
        <x:v>Victoria</x:v>
      </x:c>
      <x:c r="E269" s="80" t="n">
        <x:v>26</x:v>
      </x:c>
      <x:c r="F269" s="80" t="n">
        <x:v>8539</x:v>
      </x:c>
      <x:c r="G269" s="81" t="n">
        <x:f>E269/F269</x:f>
        <x:v>0.0030448530272865677</x:v>
      </x:c>
      <x:c r="H269" s="82" t="n">
        <x:v>142.49003566669566</x:v>
      </x:c>
      <x:c r="I269" s="82" t="n">
        <x:v>-38.12245428492082</x:v>
      </x:c>
      <x:c r="J269" s="83" t="n">
        <x:v>5481.686</x:v>
      </x:c>
    </x:row>
    <x:row r="270">
      <x:c r="A270" s="78" t="n">
        <x:v>2021</x:v>
      </x:c>
      <x:c r="B270" s="79" t="str">
        <x:v>15750</x:v>
      </x:c>
      <x:c r="C270" s="18" t="str">
        <x:v>Narrabri</x:v>
      </x:c>
      <x:c r="D270" s="18" t="str">
        <x:v>New South Wales</x:v>
      </x:c>
      <x:c r="E270" s="80" t="n">
        <x:v>26</x:v>
      </x:c>
      <x:c r="F270" s="80" t="n">
        <x:v>5782</x:v>
      </x:c>
      <x:c r="G270" s="81" t="n">
        <x:f>E270/F270</x:f>
        <x:v>0.004496713939813214</x:v>
      </x:c>
      <x:c r="H270" s="82" t="n">
        <x:v>149.564883987817</x:v>
      </x:c>
      <x:c r="I270" s="82" t="n">
        <x:v>-30.356491390575027</x:v>
      </x:c>
      <x:c r="J270" s="83" t="n">
        <x:v>13014.9937</x:v>
      </x:c>
    </x:row>
    <x:row r="271">
      <x:c r="A271" s="78" t="n">
        <x:v>2021</x:v>
      </x:c>
      <x:c r="B271" s="79" t="str">
        <x:v>47630</x:v>
      </x:c>
      <x:c r="C271" s="18" t="str">
        <x:v>Tatiara</x:v>
      </x:c>
      <x:c r="D271" s="18" t="str">
        <x:v>South Australia</x:v>
      </x:c>
      <x:c r="E271" s="80" t="n">
        <x:v>26</x:v>
      </x:c>
      <x:c r="F271" s="80" t="n">
        <x:v>3670</x:v>
      </x:c>
      <x:c r="G271" s="81" t="n">
        <x:f>E271/F271</x:f>
        <x:v>0.007084468664850136</x:v>
      </x:c>
      <x:c r="H271" s="82" t="n">
        <x:v>140.5844421568836</x:v>
      </x:c>
      <x:c r="I271" s="82" t="n">
        <x:v>-36.227921350950965</x:v>
      </x:c>
      <x:c r="J271" s="83" t="n">
        <x:v>6527.2342</x:v>
      </x:c>
    </x:row>
    <x:row r="272">
      <x:c r="A272" s="78" t="n">
        <x:v>2021</x:v>
      </x:c>
      <x:c r="B272" s="79" t="str">
        <x:v>17620</x:v>
      </x:c>
      <x:c r="C272" s="18" t="str">
        <x:v>Upper Hunter Shire</x:v>
      </x:c>
      <x:c r="D272" s="18" t="str">
        <x:v>New South Wales</x:v>
      </x:c>
      <x:c r="E272" s="80" t="n">
        <x:v>26</x:v>
      </x:c>
      <x:c r="F272" s="80" t="n">
        <x:v>6784</x:v>
      </x:c>
      <x:c r="G272" s="81" t="n">
        <x:f>E272/F272</x:f>
        <x:v>0.0038325471698113208</x:v>
      </x:c>
      <x:c r="H272" s="82" t="n">
        <x:v>150.72652134509858</x:v>
      </x:c>
      <x:c r="I272" s="82" t="n">
        <x:v>-31.969255271118136</x:v>
      </x:c>
      <x:c r="J272" s="83" t="n">
        <x:v>8096.0889</x:v>
      </x:c>
    </x:row>
    <x:row r="273">
      <x:c r="A273" s="78" t="n">
        <x:v>2021</x:v>
      </x:c>
      <x:c r="B273" s="79" t="str">
        <x:v>74660</x:v>
      </x:c>
      <x:c r="C273" s="18" t="str">
        <x:v>West Arnhem</x:v>
      </x:c>
      <x:c r="D273" s="18" t="str">
        <x:v>Northern Territory</x:v>
      </x:c>
      <x:c r="E273" s="80" t="n">
        <x:v>26</x:v>
      </x:c>
      <x:c r="F273" s="80" t="n">
        <x:v>1463</x:v>
      </x:c>
      <x:c r="G273" s="81" t="n">
        <x:f>E273/F273</x:f>
        <x:v>0.0177717019822283</x:v>
      </x:c>
      <x:c r="H273" s="82" t="n">
        <x:v>133.25851353128675</x:v>
      </x:c>
      <x:c r="I273" s="82" t="n">
        <x:v>-12.508058175059043</x:v>
      </x:c>
      <x:c r="J273" s="83" t="n">
        <x:v>49675.0342</x:v>
      </x:c>
    </x:row>
    <x:row r="274">
      <x:c r="A274" s="78" t="n">
        <x:v>2021</x:v>
      </x:c>
      <x:c r="B274" s="79" t="str">
        <x:v>54830</x:v>
      </x:c>
      <x:c r="C274" s="18" t="str">
        <x:v>Kwinana</x:v>
      </x:c>
      <x:c r="D274" s="18" t="str">
        <x:v>Western Australia</x:v>
      </x:c>
      <x:c r="E274" s="80" t="n">
        <x:v>25</x:v>
      </x:c>
      <x:c r="F274" s="80" t="n">
        <x:v>21377</x:v>
      </x:c>
      <x:c r="G274" s="81" t="n">
        <x:f>E274/F274</x:f>
        <x:v>0.0011694812181316369</x:v>
      </x:c>
      <x:c r="H274" s="82" t="n">
        <x:v>115.82866204108467</x:v>
      </x:c>
      <x:c r="I274" s="82" t="n">
        <x:v>-32.22769020434827</x:v>
      </x:c>
      <x:c r="J274" s="83" t="n">
        <x:v>120.0123</x:v>
      </x:c>
    </x:row>
    <x:row r="275">
      <x:c r="A275" s="78" t="n">
        <x:v>2021</x:v>
      </x:c>
      <x:c r="B275" s="79" t="str">
        <x:v>14750</x:v>
      </x:c>
      <x:c r="C275" s="18" t="str">
        <x:v>Leeton</x:v>
      </x:c>
      <x:c r="D275" s="18" t="str">
        <x:v>New South Wales</x:v>
      </x:c>
      <x:c r="E275" s="80" t="n">
        <x:v>25</x:v>
      </x:c>
      <x:c r="F275" s="80" t="n">
        <x:v>5073</x:v>
      </x:c>
      <x:c r="G275" s="81" t="n">
        <x:f>E275/F275</x:f>
        <x:v>0.004928050463236744</x:v>
      </x:c>
      <x:c r="H275" s="82" t="n">
        <x:v>146.30208236113302</x:v>
      </x:c>
      <x:c r="I275" s="82" t="n">
        <x:v>-34.532370019920194</x:v>
      </x:c>
      <x:c r="J275" s="83" t="n">
        <x:v>1167.1876</x:v>
      </x:c>
    </x:row>
    <x:row r="276">
      <x:c r="A276" s="78" t="n">
        <x:v>2021</x:v>
      </x:c>
      <x:c r="B276" s="79" t="str">
        <x:v>55180</x:v>
      </x:c>
      <x:c r="C276" s="18" t="str">
        <x:v>Manjimup</x:v>
      </x:c>
      <x:c r="D276" s="18" t="str">
        <x:v>Western Australia</x:v>
      </x:c>
      <x:c r="E276" s="80" t="n">
        <x:v>25</x:v>
      </x:c>
      <x:c r="F276" s="80" t="n">
        <x:v>4339</x:v>
      </x:c>
      <x:c r="G276" s="81" t="n">
        <x:f>E276/F276</x:f>
        <x:v>0.005761696243374049</x:v>
      </x:c>
      <x:c r="H276" s="82" t="n">
        <x:v>116.32567814657446</x:v>
      </x:c>
      <x:c r="I276" s="82" t="n">
        <x:v>-34.557140171993666</x:v>
      </x:c>
      <x:c r="J276" s="83" t="n">
        <x:v>7029.6076</x:v>
      </x:c>
    </x:row>
    <x:row r="277">
      <x:c r="A277" s="78" t="n">
        <x:v>2021</x:v>
      </x:c>
      <x:c r="B277" s="79" t="str">
        <x:v>34860</x:v>
      </x:c>
      <x:c r="C277" s="18" t="str">
        <x:v>Maranoa</x:v>
      </x:c>
      <x:c r="D277" s="18" t="str">
        <x:v>Queensland</x:v>
      </x:c>
      <x:c r="E277" s="80" t="n">
        <x:v>25</x:v>
      </x:c>
      <x:c r="F277" s="80" t="n">
        <x:v>6463</x:v>
      </x:c>
      <x:c r="G277" s="81" t="n">
        <x:f>E277/F277</x:f>
        <x:v>0.0038681726752282223</x:v>
      </x:c>
      <x:c r="H277" s="82" t="n">
        <x:v>148.28769223026464</x:v>
      </x:c>
      <x:c r="I277" s="82" t="n">
        <x:v>-26.544283816614442</x:v>
      </x:c>
      <x:c r="J277" s="83" t="n">
        <x:v>58719.3449</x:v>
      </x:c>
    </x:row>
    <x:row r="278">
      <x:c r="A278" s="78" t="n">
        <x:v>2021</x:v>
      </x:c>
      <x:c r="B278" s="79" t="str">
        <x:v>64210</x:v>
      </x:c>
      <x:c r="C278" s="18" t="str">
        <x:v>Meander Valley</x:v>
      </x:c>
      <x:c r="D278" s="18" t="str">
        <x:v>Tasmania</x:v>
      </x:c>
      <x:c r="E278" s="80" t="n">
        <x:v>25</x:v>
      </x:c>
      <x:c r="F278" s="80" t="n">
        <x:v>9654</x:v>
      </x:c>
      <x:c r="G278" s="81" t="n">
        <x:f>E278/F278</x:f>
        <x:v>0.0025896001657344106</x:v>
      </x:c>
      <x:c r="H278" s="82" t="n">
        <x:v>146.48478161012665</x:v>
      </x:c>
      <x:c r="I278" s="82" t="n">
        <x:v>-41.62665437741763</x:v>
      </x:c>
      <x:c r="J278" s="83" t="n">
        <x:v>3330.8146</x:v>
      </x:c>
    </x:row>
    <x:row r="279">
      <x:c r="A279" s="78" t="n">
        <x:v>2021</x:v>
      </x:c>
      <x:c r="B279" s="79" t="str">
        <x:v>46090</x:v>
      </x:c>
      <x:c r="C279" s="18" t="str">
        <x:v>Port Augusta</x:v>
      </x:c>
      <x:c r="D279" s="18" t="str">
        <x:v>South Australia</x:v>
      </x:c>
      <x:c r="E279" s="80" t="n">
        <x:v>25</x:v>
      </x:c>
      <x:c r="F279" s="80" t="n">
        <x:v>5584</x:v>
      </x:c>
      <x:c r="G279" s="81" t="n">
        <x:f>E279/F279</x:f>
        <x:v>0.004477077363896848</x:v>
      </x:c>
      <x:c r="H279" s="82" t="n">
        <x:v>137.7511705732026</x:v>
      </x:c>
      <x:c r="I279" s="82" t="n">
        <x:v>-32.59113678527663</x:v>
      </x:c>
      <x:c r="J279" s="83" t="n">
        <x:v>1157.9905</x:v>
      </x:c>
    </x:row>
    <x:row r="280">
      <x:c r="A280" s="78" t="n">
        <x:v>2021</x:v>
      </x:c>
      <x:c r="B280" s="79" t="str">
        <x:v>26430</x:v>
      </x:c>
      <x:c r="C280" s="18" t="str">
        <x:v>Strathbogie</x:v>
      </x:c>
      <x:c r="D280" s="18" t="str">
        <x:v>Victoria</x:v>
      </x:c>
      <x:c r="E280" s="80" t="n">
        <x:v>25</x:v>
      </x:c>
      <x:c r="F280" s="80" t="n">
        <x:v>4925</x:v>
      </x:c>
      <x:c r="G280" s="81" t="n">
        <x:f>E280/F280</x:f>
        <x:v>0.005076142131979695</x:v>
      </x:c>
      <x:c r="H280" s="82" t="n">
        <x:v>145.43491750821292</x:v>
      </x:c>
      <x:c r="I280" s="82" t="n">
        <x:v>-36.76033144595455</x:v>
      </x:c>
      <x:c r="J280" s="83" t="n">
        <x:v>3303.2568</x:v>
      </x:c>
    </x:row>
    <x:row r="281">
      <x:c r="A281" s="78" t="n">
        <x:v>2021</x:v>
      </x:c>
      <x:c r="B281" s="79" t="str">
        <x:v>20260</x:v>
      </x:c>
      <x:c r="C281" s="18" t="str">
        <x:v>Ararat</x:v>
      </x:c>
      <x:c r="D281" s="18" t="str">
        <x:v>Victoria</x:v>
      </x:c>
      <x:c r="E281" s="80" t="n">
        <x:v>24</x:v>
      </x:c>
      <x:c r="F281" s="80" t="n">
        <x:v>4973</x:v>
      </x:c>
      <x:c r="G281" s="81" t="n">
        <x:f>E281/F281</x:f>
        <x:v>0.004826060727930827</x:v>
      </x:c>
      <x:c r="H281" s="82" t="n">
        <x:v>142.843190931004</x:v>
      </x:c>
      <x:c r="I281" s="82" t="n">
        <x:v>-37.47270906602789</x:v>
      </x:c>
      <x:c r="J281" s="83" t="n">
        <x:v>4211.1172</x:v>
      </x:c>
    </x:row>
    <x:row r="282">
      <x:c r="A282" s="78" t="n">
        <x:v>2021</x:v>
      </x:c>
      <x:c r="B282" s="79" t="str">
        <x:v>34580</x:v>
      </x:c>
      <x:c r="C282" s="18" t="str">
        <x:v>Lockyer Valley</x:v>
      </x:c>
      <x:c r="D282" s="18" t="str">
        <x:v>Queensland</x:v>
      </x:c>
      <x:c r="E282" s="80" t="n">
        <x:v>24</x:v>
      </x:c>
      <x:c r="F282" s="80" t="n">
        <x:v>17963</x:v>
      </x:c>
      <x:c r="G282" s="81" t="n">
        <x:f>E282/F282</x:f>
        <x:v>0.001336079719423259</x:v>
      </x:c>
      <x:c r="H282" s="82" t="n">
        <x:v>152.24055216251</x:v>
      </x:c>
      <x:c r="I282" s="82" t="n">
        <x:v>-27.64272986325313</x:v>
      </x:c>
      <x:c r="J282" s="83" t="n">
        <x:v>2269.0054</x:v>
      </x:c>
    </x:row>
    <x:row r="283">
      <x:c r="A283" s="78" t="n">
        <x:v>2021</x:v>
      </x:c>
      <x:c r="B283" s="79" t="str">
        <x:v>32310</x:v>
      </x:c>
      <x:c r="C283" s="18" t="str">
        <x:v>Charters Towers</x:v>
      </x:c>
      <x:c r="D283" s="18" t="str">
        <x:v>Queensland</x:v>
      </x:c>
      <x:c r="E283" s="80" t="n">
        <x:v>23</x:v>
      </x:c>
      <x:c r="F283" s="80" t="n">
        <x:v>4756</x:v>
      </x:c>
      <x:c r="G283" s="81" t="n">
        <x:f>E283/F283</x:f>
        <x:v>0.004835996635828428</x:v>
      </x:c>
      <x:c r="H283" s="82" t="n">
        <x:v>145.78820292819543</x:v>
      </x:c>
      <x:c r="I283" s="82" t="n">
        <x:v>-20.148862666628162</x:v>
      </x:c>
      <x:c r="J283" s="83" t="n">
        <x:v>68382.1644</x:v>
      </x:c>
    </x:row>
    <x:row r="284">
      <x:c r="A284" s="78" t="n">
        <x:v>2021</x:v>
      </x:c>
      <x:c r="B284" s="79" t="str">
        <x:v>45090</x:v>
      </x:c>
      <x:c r="C284" s="18" t="str">
        <x:v>Naracoorte Lucindale</x:v>
      </x:c>
      <x:c r="D284" s="18" t="str">
        <x:v>South Australia</x:v>
      </x:c>
      <x:c r="E284" s="80" t="n">
        <x:v>23</x:v>
      </x:c>
      <x:c r="F284" s="80" t="n">
        <x:v>4363</x:v>
      </x:c>
      <x:c r="G284" s="81" t="n">
        <x:f>E284/F284</x:f>
        <x:v>0.005271602108640843</x:v>
      </x:c>
      <x:c r="H284" s="82" t="n">
        <x:v>140.5473155393589</x:v>
      </x:c>
      <x:c r="I284" s="82" t="n">
        <x:v>-36.97727429218732</x:v>
      </x:c>
      <x:c r="J284" s="83" t="n">
        <x:v>4519.715</x:v>
      </x:c>
    </x:row>
    <x:row r="285">
      <x:c r="A285" s="78" t="n">
        <x:v>2021</x:v>
      </x:c>
      <x:c r="B285" s="79" t="str">
        <x:v>41560</x:v>
      </x:c>
      <x:c r="C285" s="18" t="str">
        <x:v>Copper Coast</x:v>
      </x:c>
      <x:c r="D285" s="18" t="str">
        <x:v>South Australia</x:v>
      </x:c>
      <x:c r="E285" s="80" t="n">
        <x:v>22</x:v>
      </x:c>
      <x:c r="F285" s="80" t="n">
        <x:v>5346</x:v>
      </x:c>
      <x:c r="G285" s="81" t="n">
        <x:f>E285/F285</x:f>
        <x:v>0.00411522633744856</x:v>
      </x:c>
      <x:c r="H285" s="82" t="n">
        <x:v>137.7289583670455</x:v>
      </x:c>
      <x:c r="I285" s="82" t="n">
        <x:v>-33.98339270674474</x:v>
      </x:c>
      <x:c r="J285" s="83" t="n">
        <x:v>772.9149</x:v>
      </x:c>
    </x:row>
    <x:row r="286">
      <x:c r="A286" s="78" t="n">
        <x:v>2021</x:v>
      </x:c>
      <x:c r="B286" s="79" t="str">
        <x:v>52730</x:v>
      </x:c>
      <x:c r="C286" s="18" t="str">
        <x:v>Denmark</x:v>
      </x:c>
      <x:c r="D286" s="18" t="str">
        <x:v>Western Australia</x:v>
      </x:c>
      <x:c r="E286" s="80" t="n">
        <x:v>22</x:v>
      </x:c>
      <x:c r="F286" s="80" t="n">
        <x:v>2592</x:v>
      </x:c>
      <x:c r="G286" s="81" t="n">
        <x:f>E286/F286</x:f>
        <x:v>0.008487654320987654</x:v>
      </x:c>
      <x:c r="H286" s="82" t="n">
        <x:v>117.11882821260915</x:v>
      </x:c>
      <x:c r="I286" s="82" t="n">
        <x:v>-34.890484589986954</x:v>
      </x:c>
      <x:c r="J286" s="83" t="n">
        <x:v>1859.8487</x:v>
      </x:c>
    </x:row>
    <x:row r="287">
      <x:c r="A287" s="78" t="n">
        <x:v>2021</x:v>
      </x:c>
      <x:c r="B287" s="79" t="str">
        <x:v>33610</x:v>
      </x:c>
      <x:c r="C287" s="18" t="str">
        <x:v>Goondiwindi</x:v>
      </x:c>
      <x:c r="D287" s="18" t="str">
        <x:v>Queensland</x:v>
      </x:c>
      <x:c r="E287" s="80" t="n">
        <x:v>22</x:v>
      </x:c>
      <x:c r="F287" s="80" t="n">
        <x:v>4824</x:v>
      </x:c>
      <x:c r="G287" s="81" t="n">
        <x:f>E287/F287</x:f>
        <x:v>0.004560530679933665</x:v>
      </x:c>
      <x:c r="H287" s="82" t="n">
        <x:v>150.33989370568642</x:v>
      </x:c>
      <x:c r="I287" s="82" t="n">
        <x:v>-28.373684193030897</x:v>
      </x:c>
      <x:c r="J287" s="83" t="n">
        <x:v>19265.7098</x:v>
      </x:c>
    </x:row>
    <x:row r="288">
      <x:c r="A288" s="78" t="n">
        <x:v>2021</x:v>
      </x:c>
      <x:c r="B288" s="79" t="str">
        <x:v>52800</x:v>
      </x:c>
      <x:c r="C288" s="18" t="str">
        <x:v>Derby-West Kimberley</x:v>
      </x:c>
      <x:c r="D288" s="18" t="str">
        <x:v>Western Australia</x:v>
      </x:c>
      <x:c r="E288" s="80" t="n">
        <x:v>21</x:v>
      </x:c>
      <x:c r="F288" s="80" t="n">
        <x:v>2001</x:v>
      </x:c>
      <x:c r="G288" s="81" t="n">
        <x:f>E288/F288</x:f>
        <x:v>0.010494752623688156</x:v>
      </x:c>
      <x:c r="H288" s="82" t="n">
        <x:v>124.97750799351249</x:v>
      </x:c>
      <x:c r="I288" s="82" t="n">
        <x:v>-17.79105654863294</x:v>
      </x:c>
      <x:c r="J288" s="83" t="n">
        <x:v>119730.9696</x:v>
      </x:c>
    </x:row>
    <x:row r="289">
      <x:c r="A289" s="78" t="n">
        <x:v>2021</x:v>
      </x:c>
      <x:c r="B289" s="79" t="str">
        <x:v>14870</x:v>
      </x:c>
      <x:c r="C289" s="18" t="str">
        <x:v>Lithgow</x:v>
      </x:c>
      <x:c r="D289" s="18" t="str">
        <x:v>New South Wales</x:v>
      </x:c>
      <x:c r="E289" s="80" t="n">
        <x:v>20</x:v>
      </x:c>
      <x:c r="F289" s="80" t="n">
        <x:v>8304</x:v>
      </x:c>
      <x:c r="G289" s="81" t="n">
        <x:f>E289/F289</x:f>
        <x:v>0.0024084778420038534</x:v>
      </x:c>
      <x:c r="H289" s="82" t="n">
        <x:v>150.17895607864014</x:v>
      </x:c>
      <x:c r="I289" s="82" t="n">
        <x:v>-33.277674746428836</x:v>
      </x:c>
      <x:c r="J289" s="83" t="n">
        <x:v>4512.2561</x:v>
      </x:c>
    </x:row>
    <x:row r="290">
      <x:c r="A290" s="78" t="n">
        <x:v>2021</x:v>
      </x:c>
      <x:c r="B290" s="79" t="str">
        <x:v>43790</x:v>
      </x:c>
      <x:c r="C290" s="18" t="str">
        <x:v>Loxton Waikerie</x:v>
      </x:c>
      <x:c r="D290" s="18" t="str">
        <x:v>South Australia</x:v>
      </x:c>
      <x:c r="E290" s="80" t="n">
        <x:v>20</x:v>
      </x:c>
      <x:c r="F290" s="80" t="n">
        <x:v>5186</x:v>
      </x:c>
      <x:c r="G290" s="81" t="n">
        <x:f>E290/F290</x:f>
        <x:v>0.0038565368299267257</x:v>
      </x:c>
      <x:c r="H290" s="82" t="n">
        <x:v>140.35162085519295</x:v>
      </x:c>
      <x:c r="I290" s="82" t="n">
        <x:v>-34.50822879247391</x:v>
      </x:c>
      <x:c r="J290" s="83" t="n">
        <x:v>7763.8714</x:v>
      </x:c>
    </x:row>
    <x:row r="291">
      <x:c r="A291" s="78" t="n">
        <x:v>2021</x:v>
      </x:c>
      <x:c r="B291" s="79" t="str">
        <x:v>56790</x:v>
      </x:c>
      <x:c r="C291" s="18" t="str">
        <x:v>Northampton</x:v>
      </x:c>
      <x:c r="D291" s="18" t="str">
        <x:v>Western Australia</x:v>
      </x:c>
      <x:c r="E291" s="80" t="n">
        <x:v>20</x:v>
      </x:c>
      <x:c r="F291" s="80" t="n">
        <x:v>1306</x:v>
      </x:c>
      <x:c r="G291" s="81" t="n">
        <x:f>E291/F291</x:f>
        <x:v>0.015313935681470138</x:v>
      </x:c>
      <x:c r="H291" s="82" t="n">
        <x:v>114.64591370173417</x:v>
      </x:c>
      <x:c r="I291" s="82" t="n">
        <x:v>-27.753079492102522</x:v>
      </x:c>
      <x:c r="J291" s="83" t="n">
        <x:v>12543.7142</x:v>
      </x:c>
    </x:row>
    <x:row r="292">
      <x:c r="A292" s="78" t="n">
        <x:v>2021</x:v>
      </x:c>
      <x:c r="B292" s="79" t="str">
        <x:v>36580</x:v>
      </x:c>
      <x:c r="C292" s="18" t="str">
        <x:v>Somerset</x:v>
      </x:c>
      <x:c r="D292" s="18" t="str">
        <x:v>Queensland</x:v>
      </x:c>
      <x:c r="E292" s="80" t="n">
        <x:v>20</x:v>
      </x:c>
      <x:c r="F292" s="80" t="n">
        <x:v>10248</x:v>
      </x:c>
      <x:c r="G292" s="81" t="n">
        <x:f>E292/F292</x:f>
        <x:v>0.00195160031225605</x:v>
      </x:c>
      <x:c r="H292" s="82" t="n">
        <x:v>152.42521331918277</x:v>
      </x:c>
      <x:c r="I292" s="82" t="n">
        <x:v>-27.00893660197397</x:v>
      </x:c>
      <x:c r="J292" s="83" t="n">
        <x:v>5373.4335</x:v>
      </x:c>
    </x:row>
    <x:row r="293">
      <x:c r="A293" s="78" t="n">
        <x:v>2021</x:v>
      </x:c>
      <x:c r="B293" s="79" t="str">
        <x:v>63010</x:v>
      </x:c>
      <x:c r="C293" s="18" t="str">
        <x:v>Huon Valley</x:v>
      </x:c>
      <x:c r="D293" s="18" t="str">
        <x:v>Tasmania</x:v>
      </x:c>
      <x:c r="E293" s="80" t="n">
        <x:v>19</x:v>
      </x:c>
      <x:c r="F293" s="80" t="n">
        <x:v>7657</x:v>
      </x:c>
      <x:c r="G293" s="81" t="n">
        <x:f>E293/F293</x:f>
        <x:v>0.0024813895781637717</x:v>
      </x:c>
      <x:c r="H293" s="82" t="n">
        <x:v>146.59715481315766</x:v>
      </x:c>
      <x:c r="I293" s="82" t="n">
        <x:v>-43.25142970770755</x:v>
      </x:c>
      <x:c r="J293" s="83" t="n">
        <x:v>5507.3541</x:v>
      </x:c>
    </x:row>
    <x:row r="294">
      <x:c r="A294" s="78" t="n">
        <x:v>2021</x:v>
      </x:c>
      <x:c r="B294" s="79" t="str">
        <x:v>15700</x:v>
      </x:c>
      <x:c r="C294" s="18" t="str">
        <x:v>Nambucca Valley</x:v>
      </x:c>
      <x:c r="D294" s="18" t="str">
        <x:v>New South Wales</x:v>
      </x:c>
      <x:c r="E294" s="80" t="n">
        <x:v>19</x:v>
      </x:c>
      <x:c r="F294" s="80" t="n">
        <x:v>7085</x:v>
      </x:c>
      <x:c r="G294" s="81" t="n">
        <x:f>E294/F294</x:f>
        <x:v>0.002681721947776994</x:v>
      </x:c>
      <x:c r="H294" s="82" t="n">
        <x:v>152.7689379045073</x:v>
      </x:c>
      <x:c r="I294" s="82" t="n">
        <x:v>-30.68755664758297</x:v>
      </x:c>
      <x:c r="J294" s="83" t="n">
        <x:v>1491.3431</x:v>
      </x:c>
    </x:row>
    <x:row r="295">
      <x:c r="A295" s="78" t="n">
        <x:v>2021</x:v>
      </x:c>
      <x:c r="B295" s="79" t="str">
        <x:v>22910</x:v>
      </x:c>
      <x:c r="C295" s="18" t="str">
        <x:v>Hepburn</x:v>
      </x:c>
      <x:c r="D295" s="18" t="str">
        <x:v>Victoria</x:v>
      </x:c>
      <x:c r="E295" s="80" t="n">
        <x:v>18</x:v>
      </x:c>
      <x:c r="F295" s="80" t="n">
        <x:v>7159</x:v>
      </x:c>
      <x:c r="G295" s="81" t="n">
        <x:f>E295/F295</x:f>
        <x:v>0.002514317642128789</x:v>
      </x:c>
      <x:c r="H295" s="82" t="n">
        <x:v>144.05756049901254</x:v>
      </x:c>
      <x:c r="I295" s="82" t="n">
        <x:v>-37.31693705361137</x:v>
      </x:c>
      <x:c r="J295" s="83" t="n">
        <x:v>1472.9843</x:v>
      </x:c>
    </x:row>
    <x:row r="296">
      <x:c r="A296" s="78" t="n">
        <x:v>2021</x:v>
      </x:c>
      <x:c r="B296" s="79" t="str">
        <x:v>45040</x:v>
      </x:c>
      <x:c r="C296" s="18" t="str">
        <x:v>Murray Bridge</x:v>
      </x:c>
      <x:c r="D296" s="18" t="str">
        <x:v>South Australia</x:v>
      </x:c>
      <x:c r="E296" s="80" t="n">
        <x:v>18</x:v>
      </x:c>
      <x:c r="F296" s="80" t="n">
        <x:v>8721</x:v>
      </x:c>
      <x:c r="G296" s="81" t="n">
        <x:f>E296/F296</x:f>
        <x:v>0.0020639834881320948</x:v>
      </x:c>
      <x:c r="H296" s="82" t="n">
        <x:v>139.3017830015991</x:v>
      </x:c>
      <x:c r="I296" s="82" t="n">
        <x:v>-35.15931858163593</x:v>
      </x:c>
      <x:c r="J296" s="83" t="n">
        <x:v>1831.7597</x:v>
      </x:c>
    </x:row>
    <x:row r="297">
      <x:c r="A297" s="78" t="n">
        <x:v>2021</x:v>
      </x:c>
      <x:c r="B297" s="79" t="str">
        <x:v>32450</x:v>
      </x:c>
      <x:c r="C297" s="18" t="str">
        <x:v>Cloncurry</x:v>
      </x:c>
      <x:c r="D297" s="18" t="str">
        <x:v>Queensland</x:v>
      </x:c>
      <x:c r="E297" s="80" t="n">
        <x:v>17</x:v>
      </x:c>
      <x:c r="F297" s="80" t="n">
        <x:v>1827</x:v>
      </x:c>
      <x:c r="G297" s="81" t="n">
        <x:f>E297/F297</x:f>
        <x:v>0.009304871373836891</x:v>
      </x:c>
      <x:c r="H297" s="82" t="n">
        <x:v>140.2647626009028</x:v>
      </x:c>
      <x:c r="I297" s="82" t="n">
        <x:v>-20.81770446485691</x:v>
      </x:c>
      <x:c r="J297" s="83" t="n">
        <x:v>47971.2595</x:v>
      </x:c>
    </x:row>
    <x:row r="298">
      <x:c r="A298" s="78" t="n">
        <x:v>2021</x:v>
      </x:c>
      <x:c r="B298" s="79" t="str">
        <x:v>15300</x:v>
      </x:c>
      <x:c r="C298" s="18" t="str">
        <x:v>Moree Plains</x:v>
      </x:c>
      <x:c r="D298" s="18" t="str">
        <x:v>New South Wales</x:v>
      </x:c>
      <x:c r="E298" s="80" t="n">
        <x:v>17</x:v>
      </x:c>
      <x:c r="F298" s="80" t="n">
        <x:v>5199</x:v>
      </x:c>
      <x:c r="G298" s="81" t="n">
        <x:f>E298/F298</x:f>
        <x:v>0.0032698595883823814</x:v>
      </x:c>
      <x:c r="H298" s="82" t="n">
        <x:v>149.62884980091337</x:v>
      </x:c>
      <x:c r="I298" s="82" t="n">
        <x:v>-29.253024262070543</x:v>
      </x:c>
      <x:c r="J298" s="83" t="n">
        <x:v>17902.7033</x:v>
      </x:c>
    </x:row>
    <x:row r="299">
      <x:c r="A299" s="78" t="n">
        <x:v>2021</x:v>
      </x:c>
      <x:c r="B299" s="79" t="str">
        <x:v>25620</x:v>
      </x:c>
      <x:c r="C299" s="18" t="str">
        <x:v>Murrindindi</x:v>
      </x:c>
      <x:c r="D299" s="18" t="str">
        <x:v>Victoria</x:v>
      </x:c>
      <x:c r="E299" s="80" t="n">
        <x:v>17</x:v>
      </x:c>
      <x:c r="F299" s="80" t="n">
        <x:v>6789</x:v>
      </x:c>
      <x:c r="G299" s="81" t="n">
        <x:f>E299/F299</x:f>
        <x:v>0.002504050670201797</x:v>
      </x:c>
      <x:c r="H299" s="82" t="n">
        <x:v>145.6301053446141</x:v>
      </x:c>
      <x:c r="I299" s="82" t="n">
        <x:v>-37.3109810384015</x:v>
      </x:c>
      <x:c r="J299" s="83" t="n">
        <x:v>3879.7505</x:v>
      </x:c>
    </x:row>
    <x:row r="300">
      <x:c r="A300" s="78" t="n">
        <x:v>2021</x:v>
      </x:c>
      <x:c r="B300" s="79" t="str">
        <x:v>15650</x:v>
      </x:c>
      <x:c r="C300" s="18" t="str">
        <x:v>Muswellbrook</x:v>
      </x:c>
      <x:c r="D300" s="18" t="str">
        <x:v>New South Wales</x:v>
      </x:c>
      <x:c r="E300" s="80" t="n">
        <x:v>17</x:v>
      </x:c>
      <x:c r="F300" s="80" t="n">
        <x:v>7359</x:v>
      </x:c>
      <x:c r="G300" s="81" t="n">
        <x:f>E300/F300</x:f>
        <x:v>0.002310096480500068</x:v>
      </x:c>
      <x:c r="H300" s="82" t="n">
        <x:v>150.63029581195389</x:v>
      </x:c>
      <x:c r="I300" s="82" t="n">
        <x:v>-32.439924404844845</x:v>
      </x:c>
      <x:c r="J300" s="83" t="n">
        <x:v>3404.8841</x:v>
      </x:c>
    </x:row>
    <x:row r="301">
      <x:c r="A301" s="78" t="n">
        <x:v>2021</x:v>
      </x:c>
      <x:c r="B301" s="79" t="str">
        <x:v>10650</x:v>
      </x:c>
      <x:c r="C301" s="18" t="str">
        <x:v>Berrigan</x:v>
      </x:c>
      <x:c r="D301" s="18" t="str">
        <x:v>New South Wales</x:v>
      </x:c>
      <x:c r="E301" s="80" t="n">
        <x:v>16</x:v>
      </x:c>
      <x:c r="F301" s="80" t="n">
        <x:v>3454</x:v>
      </x:c>
      <x:c r="G301" s="81" t="n">
        <x:f>E301/F301</x:f>
        <x:v>0.004632310364794441</x:v>
      </x:c>
      <x:c r="H301" s="82" t="n">
        <x:v>145.71117423919682</x:v>
      </x:c>
      <x:c r="I301" s="82" t="n">
        <x:v>-35.73432574915204</x:v>
      </x:c>
      <x:c r="J301" s="83" t="n">
        <x:v>2065.8878</x:v>
      </x:c>
    </x:row>
    <x:row r="302">
      <x:c r="A302" s="78" t="n">
        <x:v>2021</x:v>
      </x:c>
      <x:c r="B302" s="79" t="str">
        <x:v>51860</x:v>
      </x:c>
      <x:c r="C302" s="18" t="str">
        <x:v>Cocos Islands</x:v>
      </x:c>
      <x:c r="D302" s="18" t="str">
        <x:v>Other Territories</x:v>
      </x:c>
      <x:c r="E302" s="80" t="n">
        <x:v>16</x:v>
      </x:c>
      <x:c r="F302" s="80" t="n">
        <x:v>239</x:v>
      </x:c>
      <x:c r="G302" s="81" t="n">
        <x:f>E302/F302</x:f>
        <x:v>0.06694560669456066</x:v>
      </x:c>
      <x:c r="H302" s="82" t="n">
        <x:v>96.86226320679255</x:v>
      </x:c>
      <x:c r="I302" s="82" t="n">
        <x:v>-12.134579078600463</x:v>
      </x:c>
      <x:c r="J302" s="83" t="n">
        <x:v>13.7258</x:v>
      </x:c>
    </x:row>
    <x:row r="303">
      <x:c r="A303" s="78" t="n">
        <x:v>2021</x:v>
      </x:c>
      <x:c r="B303" s="79" t="str">
        <x:v>42030</x:v>
      </x:c>
      <x:c r="C303" s="18" t="str">
        <x:v>Gawler</x:v>
      </x:c>
      <x:c r="D303" s="18" t="str">
        <x:v>South Australia</x:v>
      </x:c>
      <x:c r="E303" s="80" t="n">
        <x:v>16</x:v>
      </x:c>
      <x:c r="F303" s="80" t="n">
        <x:v>11248</x:v>
      </x:c>
      <x:c r="G303" s="81" t="n">
        <x:f>E303/F303</x:f>
        <x:v>0.001422475106685633</x:v>
      </x:c>
      <x:c r="H303" s="82" t="n">
        <x:v>138.7298818323935</x:v>
      </x:c>
      <x:c r="I303" s="82" t="n">
        <x:v>-34.62212676524378</x:v>
      </x:c>
      <x:c r="J303" s="83" t="n">
        <x:v>41.1379</x:v>
      </x:c>
    </x:row>
    <x:row r="304">
      <x:c r="A304" s="78" t="n">
        <x:v>2021</x:v>
      </x:c>
      <x:c r="B304" s="79" t="str">
        <x:v>62210</x:v>
      </x:c>
      <x:c r="C304" s="18" t="str">
        <x:v>George Town</x:v>
      </x:c>
      <x:c r="D304" s="18" t="str">
        <x:v>Tasmania</x:v>
      </x:c>
      <x:c r="E304" s="80" t="n">
        <x:v>16</x:v>
      </x:c>
      <x:c r="F304" s="80" t="n">
        <x:v>2489</x:v>
      </x:c>
      <x:c r="G304" s="81" t="n">
        <x:f>E304/F304</x:f>
        <x:v>0.0064282844515869825</x:v>
      </x:c>
      <x:c r="H304" s="82" t="n">
        <x:v>147.0260172014468</x:v>
      </x:c>
      <x:c r="I304" s="82" t="n">
        <x:v>-41.102178422350505</x:v>
      </x:c>
      <x:c r="J304" s="83" t="n">
        <x:v>653.4308</x:v>
      </x:c>
    </x:row>
    <x:row r="305">
      <x:c r="A305" s="78" t="n">
        <x:v>2021</x:v>
      </x:c>
      <x:c r="B305" s="79" t="str">
        <x:v>56230</x:v>
      </x:c>
      <x:c r="C305" s="18" t="str">
        <x:v>Murray</x:v>
      </x:c>
      <x:c r="D305" s="18" t="str">
        <x:v>Western Australia</x:v>
      </x:c>
      <x:c r="E305" s="80" t="n">
        <x:v>16</x:v>
      </x:c>
      <x:c r="F305" s="80" t="n">
        <x:v>7368</x:v>
      </x:c>
      <x:c r="G305" s="81" t="n">
        <x:f>E305/F305</x:f>
        <x:v>0.002171552660152009</x:v>
      </x:c>
      <x:c r="H305" s="82" t="n">
        <x:v>115.98943158527041</x:v>
      </x:c>
      <x:c r="I305" s="82" t="n">
        <x:v>-32.62366266152624</x:v>
      </x:c>
      <x:c r="J305" s="83" t="n">
        <x:v>1703.4688</x:v>
      </x:c>
    </x:row>
    <x:row r="306">
      <x:c r="A306" s="78" t="n">
        <x:v>2021</x:v>
      </x:c>
      <x:c r="B306" s="79" t="str">
        <x:v>16200</x:v>
      </x:c>
      <x:c r="C306" s="18" t="str">
        <x:v>Parkes</x:v>
      </x:c>
      <x:c r="D306" s="18" t="str">
        <x:v>New South Wales</x:v>
      </x:c>
      <x:c r="E306" s="80" t="n">
        <x:v>16</x:v>
      </x:c>
      <x:c r="F306" s="80" t="n">
        <x:v>6197</x:v>
      </x:c>
      <x:c r="G306" s="81" t="n">
        <x:f>E306/F306</x:f>
        <x:v>0.0025818944650637405</x:v>
      </x:c>
      <x:c r="H306" s="82" t="n">
        <x:v>147.9614227925741</x:v>
      </x:c>
      <x:c r="I306" s="82" t="n">
        <x:v>-32.881011371161954</x:v>
      </x:c>
      <x:c r="J306" s="83" t="n">
        <x:v>5957.6137</x:v>
      </x:c>
    </x:row>
    <x:row r="307">
      <x:c r="A307" s="78" t="n">
        <x:v>2021</x:v>
      </x:c>
      <x:c r="B307" s="79" t="str">
        <x:v>26080</x:v>
      </x:c>
      <x:c r="C307" s="18" t="str">
        <x:v>Queenscliffe</x:v>
      </x:c>
      <x:c r="D307" s="18" t="str">
        <x:v>Victoria</x:v>
      </x:c>
      <x:c r="E307" s="80" t="n">
        <x:v>16</x:v>
      </x:c>
      <x:c r="F307" s="80" t="n">
        <x:v>1287</x:v>
      </x:c>
      <x:c r="G307" s="81" t="n">
        <x:f>E307/F307</x:f>
        <x:v>0.012432012432012432</x:v>
      </x:c>
      <x:c r="H307" s="82" t="n">
        <x:v>144.6477154892505</x:v>
      </x:c>
      <x:c r="I307" s="82" t="n">
        <x:v>-38.264280321760694</x:v>
      </x:c>
      <x:c r="J307" s="83" t="n">
        <x:v>8.6166</x:v>
      </x:c>
    </x:row>
    <x:row r="308">
      <x:c r="A308" s="78" t="n">
        <x:v>2021</x:v>
      </x:c>
      <x:c r="B308" s="79" t="str">
        <x:v>35760</x:v>
      </x:c>
      <x:c r="C308" s="18" t="str">
        <x:v>North Burnett</x:v>
      </x:c>
      <x:c r="D308" s="18" t="str">
        <x:v>Queensland</x:v>
      </x:c>
      <x:c r="E308" s="80" t="n">
        <x:v>15</x:v>
      </x:c>
      <x:c r="F308" s="80" t="n">
        <x:v>4250</x:v>
      </x:c>
      <x:c r="G308" s="81" t="n">
        <x:f>E308/F308</x:f>
        <x:v>0.0035294117647058825</x:v>
      </x:c>
      <x:c r="H308" s="82" t="n">
        <x:v>151.20416680345662</x:v>
      </x:c>
      <x:c r="I308" s="82" t="n">
        <x:v>-25.35528357625827</x:v>
      </x:c>
      <x:c r="J308" s="83" t="n">
        <x:v>19669.8489</x:v>
      </x:c>
    </x:row>
    <x:row r="309">
      <x:c r="A309" s="78" t="n">
        <x:v>2021</x:v>
      </x:c>
      <x:c r="B309" s="79" t="str">
        <x:v>57700</x:v>
      </x:c>
      <x:c r="C309" s="18" t="str">
        <x:v>Serpentine-Jarrahdale</x:v>
      </x:c>
      <x:c r="D309" s="18" t="str">
        <x:v>Western Australia</x:v>
      </x:c>
      <x:c r="E309" s="80" t="n">
        <x:v>15</x:v>
      </x:c>
      <x:c r="F309" s="80" t="n">
        <x:v>16059</x:v>
      </x:c>
      <x:c r="G309" s="81" t="n">
        <x:f>E309/F309</x:f>
        <x:v>0.0009340556697179152</x:v>
      </x:c>
      <x:c r="H309" s="82" t="n">
        <x:v>116.03433102930397</x:v>
      </x:c>
      <x:c r="I309" s="82" t="n">
        <x:v>-32.34425580234676</x:v>
      </x:c>
      <x:c r="J309" s="83" t="n">
        <x:v>901.2054</x:v>
      </x:c>
    </x:row>
    <x:row r="310">
      <x:c r="A310" s="78" t="n">
        <x:v>2021</x:v>
      </x:c>
      <x:c r="B310" s="79" t="str">
        <x:v>18400</x:v>
      </x:c>
      <x:c r="C310" s="18" t="str">
        <x:v>Wollondilly</x:v>
      </x:c>
      <x:c r="D310" s="18" t="str">
        <x:v>New South Wales</x:v>
      </x:c>
      <x:c r="E310" s="80" t="n">
        <x:v>15</x:v>
      </x:c>
      <x:c r="F310" s="80" t="n">
        <x:v>26528</x:v>
      </x:c>
      <x:c r="G310" s="81" t="n">
        <x:f>E310/F310</x:f>
        <x:v>0.0005654402895054283</x:v>
      </x:c>
      <x:c r="H310" s="82" t="n">
        <x:v>150.44379513588362</x:v>
      </x:c>
      <x:c r="I310" s="82" t="n">
        <x:v>-34.101940973645064</x:v>
      </x:c>
      <x:c r="J310" s="83" t="n">
        <x:v>2555.4341</x:v>
      </x:c>
    </x:row>
    <x:row r="311">
      <x:c r="A311" s="78" t="n">
        <x:v>2021</x:v>
      </x:c>
      <x:c r="B311" s="79" t="str">
        <x:v>27630</x:v>
      </x:c>
      <x:c r="C311" s="18" t="str">
        <x:v>Yarriambiack</x:v>
      </x:c>
      <x:c r="D311" s="18" t="str">
        <x:v>Victoria</x:v>
      </x:c>
      <x:c r="E311" s="80" t="n">
        <x:v>15</x:v>
      </x:c>
      <x:c r="F311" s="80" t="n">
        <x:v>2670</x:v>
      </x:c>
      <x:c r="G311" s="81" t="n">
        <x:f>E311/F311</x:f>
        <x:v>0.0056179775280898875</x:v>
      </x:c>
      <x:c r="H311" s="82" t="n">
        <x:v>142.41900922733072</x:v>
      </x:c>
      <x:c r="I311" s="82" t="n">
        <x:v>-35.99006415575855</x:v>
      </x:c>
      <x:c r="J311" s="83" t="n">
        <x:v>7325.797</x:v>
      </x:c>
    </x:row>
    <x:row r="312">
      <x:c r="A312" s="78" t="n">
        <x:v>2021</x:v>
      </x:c>
      <x:c r="B312" s="79" t="str">
        <x:v>18710</x:v>
      </x:c>
      <x:c r="C312" s="18" t="str">
        <x:v>Yass Valley</x:v>
      </x:c>
      <x:c r="D312" s="18" t="str">
        <x:v>New South Wales</x:v>
      </x:c>
      <x:c r="E312" s="80" t="n">
        <x:v>15</x:v>
      </x:c>
      <x:c r="F312" s="80" t="n">
        <x:v>9001</x:v>
      </x:c>
      <x:c r="G312" s="81" t="n">
        <x:f>E312/F312</x:f>
        <x:v>0.0016664815020553273</x:v>
      </x:c>
      <x:c r="H312" s="82" t="n">
        <x:v>148.88498837552228</x:v>
      </x:c>
      <x:c r="I312" s="82" t="n">
        <x:v>-34.954180435520826</x:v>
      </x:c>
      <x:c r="J312" s="83" t="n">
        <x:v>3995.017</x:v>
      </x:c>
    </x:row>
    <x:row r="313">
      <x:c r="A313" s="78" t="n">
        <x:v>2021</x:v>
      </x:c>
      <x:c r="B313" s="79" t="str">
        <x:v>12160</x:v>
      </x:c>
      <x:c r="C313" s="18" t="str">
        <x:v>Cootamundra-Gundagai Regional</x:v>
      </x:c>
      <x:c r="D313" s="18" t="str">
        <x:v>New South Wales</x:v>
      </x:c>
      <x:c r="E313" s="80" t="n">
        <x:v>14</x:v>
      </x:c>
      <x:c r="F313" s="80" t="n">
        <x:v>4497</x:v>
      </x:c>
      <x:c r="G313" s="81" t="n">
        <x:f>E313/F313</x:f>
        <x:v>0.00311318656882366</x:v>
      </x:c>
      <x:c r="H313" s="82" t="n">
        <x:v>148.094119577997</x:v>
      </x:c>
      <x:c r="I313" s="82" t="n">
        <x:v>-34.85297513433739</x:v>
      </x:c>
      <x:c r="J313" s="83" t="n">
        <x:v>3981.4172</x:v>
      </x:c>
    </x:row>
    <x:row r="314">
      <x:c r="A314" s="78" t="n">
        <x:v>2021</x:v>
      </x:c>
      <x:c r="B314" s="79" t="str">
        <x:v>12900</x:v>
      </x:c>
      <x:c r="C314" s="18" t="str">
        <x:v>Forbes</x:v>
      </x:c>
      <x:c r="D314" s="18" t="str">
        <x:v>New South Wales</x:v>
      </x:c>
      <x:c r="E314" s="80" t="n">
        <x:v>14</x:v>
      </x:c>
      <x:c r="F314" s="80" t="n">
        <x:v>4150</x:v>
      </x:c>
      <x:c r="G314" s="81" t="n">
        <x:f>E314/F314</x:f>
        <x:v>0.0033734939759036144</x:v>
      </x:c>
      <x:c r="H314" s="82" t="n">
        <x:v>147.8672019758989</x:v>
      </x:c>
      <x:c r="I314" s="82" t="n">
        <x:v>-33.421631687921156</x:v>
      </x:c>
      <x:c r="J314" s="83" t="n">
        <x:v>4710.128</x:v>
      </x:c>
    </x:row>
    <x:row r="315">
      <x:c r="A315" s="78" t="n">
        <x:v>2021</x:v>
      </x:c>
      <x:c r="B315" s="79" t="str">
        <x:v>53570</x:v>
      </x:c>
      <x:c r="C315" s="18" t="str">
        <x:v>Gingin</x:v>
      </x:c>
      <x:c r="D315" s="18" t="str">
        <x:v>Western Australia</x:v>
      </x:c>
      <x:c r="E315" s="80" t="n">
        <x:v>14</x:v>
      </x:c>
      <x:c r="F315" s="80" t="n">
        <x:v>2487</x:v>
      </x:c>
      <x:c r="G315" s="81" t="n">
        <x:f>E315/F315</x:f>
        <x:v>0.0056292722155207075</x:v>
      </x:c>
      <x:c r="H315" s="82" t="n">
        <x:v>115.69917406583406</x:v>
      </x:c>
      <x:c r="I315" s="82" t="n">
        <x:v>-31.191580002466548</x:v>
      </x:c>
      <x:c r="J315" s="83" t="n">
        <x:v>3208.3585</x:v>
      </x:c>
    </x:row>
    <x:row r="316">
      <x:c r="A316" s="78" t="n">
        <x:v>2021</x:v>
      </x:c>
      <x:c r="B316" s="79" t="str">
        <x:v>62410</x:v>
      </x:c>
      <x:c r="C316" s="18" t="str">
        <x:v>Glamorgan-Spring Bay</x:v>
      </x:c>
      <x:c r="D316" s="18" t="str">
        <x:v>Tasmania</x:v>
      </x:c>
      <x:c r="E316" s="80" t="n">
        <x:v>14</x:v>
      </x:c>
      <x:c r="F316" s="80" t="n">
        <x:v>2015</x:v>
      </x:c>
      <x:c r="G316" s="81" t="n">
        <x:f>E316/F316</x:f>
        <x:v>0.006947890818858561</x:v>
      </x:c>
      <x:c r="H316" s="82" t="n">
        <x:v>147.96534674208698</x:v>
      </x:c>
      <x:c r="I316" s="82" t="n">
        <x:v>-42.269182778885494</x:v>
      </x:c>
      <x:c r="J316" s="83" t="n">
        <x:v>2591.591</x:v>
      </x:c>
    </x:row>
    <x:row r="317">
      <x:c r="A317" s="78" t="n">
        <x:v>2021</x:v>
      </x:c>
      <x:c r="B317" s="79" t="str">
        <x:v>57770</x:v>
      </x:c>
      <x:c r="C317" s="18" t="str">
        <x:v>Shark Bay</x:v>
      </x:c>
      <x:c r="D317" s="18" t="str">
        <x:v>Western Australia</x:v>
      </x:c>
      <x:c r="E317" s="80" t="n">
        <x:v>14</x:v>
      </x:c>
      <x:c r="F317" s="80" t="n">
        <x:v>475</x:v>
      </x:c>
      <x:c r="G317" s="81" t="n">
        <x:f>E317/F317</x:f>
        <x:v>0.029473684210526315</x:v>
      </x:c>
      <x:c r="H317" s="82" t="n">
        <x:v>114.5251339906246</x:v>
      </x:c>
      <x:c r="I317" s="82" t="n">
        <x:v>-26.536720057642032</x:v>
      </x:c>
      <x:c r="J317" s="83" t="n">
        <x:v>24201.5491</x:v>
      </x:c>
    </x:row>
    <x:row r="318">
      <x:c r="A318" s="78" t="n">
        <x:v>2021</x:v>
      </x:c>
      <x:c r="B318" s="79" t="str">
        <x:v>17080</x:v>
      </x:c>
      <x:c r="C318" s="18" t="str">
        <x:v>Snowy Valleys</x:v>
      </x:c>
      <x:c r="D318" s="18" t="str">
        <x:v>New South Wales</x:v>
      </x:c>
      <x:c r="E318" s="80" t="n">
        <x:v>14</x:v>
      </x:c>
      <x:c r="F318" s="80" t="n">
        <x:v>6549</x:v>
      </x:c>
      <x:c r="G318" s="81" t="n">
        <x:f>E318/F318</x:f>
        <x:v>0.002137730951290273</x:v>
      </x:c>
      <x:c r="H318" s="82" t="n">
        <x:v>148.24919858133399</x:v>
      </x:c>
      <x:c r="I318" s="82" t="n">
        <x:v>-35.73378497807989</x:v>
      </x:c>
      <x:c r="J318" s="83" t="n">
        <x:v>8958.9215</x:v>
      </x:c>
    </x:row>
    <x:row r="319">
      <x:c r="A319" s="78" t="n">
        <x:v>2021</x:v>
      </x:c>
      <x:c r="B319" s="79" t="str">
        <x:v>21270</x:v>
      </x:c>
      <x:c r="C319" s="18" t="str">
        <x:v>Buloke</x:v>
      </x:c>
      <x:c r="D319" s="18" t="str">
        <x:v>Victoria</x:v>
      </x:c>
      <x:c r="E319" s="80" t="n">
        <x:v>13</x:v>
      </x:c>
      <x:c r="F319" s="80" t="n">
        <x:v>2654</x:v>
      </x:c>
      <x:c r="G319" s="81" t="n">
        <x:f>E319/F319</x:f>
        <x:v>0.0048982667671439335</x:v>
      </x:c>
      <x:c r="H319" s="82" t="n">
        <x:v>143.00484408781713</x:v>
      </x:c>
      <x:c r="I319" s="82" t="n">
        <x:v>-35.912451282351086</x:v>
      </x:c>
      <x:c r="J319" s="83" t="n">
        <x:v>7998.247</x:v>
      </x:c>
    </x:row>
    <x:row r="320">
      <x:c r="A320" s="78" t="n">
        <x:v>2021</x:v>
      </x:c>
      <x:c r="B320" s="79" t="str">
        <x:v>52590</x:v>
      </x:c>
      <x:c r="C320" s="18" t="str">
        <x:v>Dandaragan</x:v>
      </x:c>
      <x:c r="D320" s="18" t="str">
        <x:v>Western Australia</x:v>
      </x:c>
      <x:c r="E320" s="80" t="n">
        <x:v>13</x:v>
      </x:c>
      <x:c r="F320" s="80" t="n">
        <x:v>1571</x:v>
      </x:c>
      <x:c r="G320" s="81" t="n">
        <x:f>E320/F320</x:f>
        <x:v>0.008274984086569064</x:v>
      </x:c>
      <x:c r="H320" s="82" t="n">
        <x:v>115.50606999336662</x:v>
      </x:c>
      <x:c r="I320" s="82" t="n">
        <x:v>-30.539613689925126</x:v>
      </x:c>
      <x:c r="J320" s="83" t="n">
        <x:v>6711.5721</x:v>
      </x:c>
    </x:row>
    <x:row r="321">
      <x:c r="A321" s="78" t="n">
        <x:v>2021</x:v>
      </x:c>
      <x:c r="B321" s="79" t="str">
        <x:v>52660</x:v>
      </x:c>
      <x:c r="C321" s="18" t="str">
        <x:v>Dardanup</x:v>
      </x:c>
      <x:c r="D321" s="18" t="str">
        <x:v>Western Australia</x:v>
      </x:c>
      <x:c r="E321" s="80" t="n">
        <x:v>13</x:v>
      </x:c>
      <x:c r="F321" s="80" t="n">
        <x:v>7025</x:v>
      </x:c>
      <x:c r="G321" s="81" t="n">
        <x:f>E321/F321</x:f>
        <x:v>0.0018505338078291815</x:v>
      </x:c>
      <x:c r="H321" s="82" t="n">
        <x:v>115.85191470634767</x:v>
      </x:c>
      <x:c r="I321" s="82" t="n">
        <x:v>-33.415424987403426</x:v>
      </x:c>
      <x:c r="J321" s="83" t="n">
        <x:v>525.8017</x:v>
      </x:c>
    </x:row>
    <x:row r="322">
      <x:c r="A322" s="78" t="n">
        <x:v>2021</x:v>
      </x:c>
      <x:c r="B322" s="79" t="str">
        <x:v>13340</x:v>
      </x:c>
      <x:c r="C322" s="18" t="str">
        <x:v>Greater Hume Shire</x:v>
      </x:c>
      <x:c r="D322" s="18" t="str">
        <x:v>New South Wales</x:v>
      </x:c>
      <x:c r="E322" s="80" t="n">
        <x:v>13</x:v>
      </x:c>
      <x:c r="F322" s="80" t="n">
        <x:v>5001</x:v>
      </x:c>
      <x:c r="G322" s="81" t="n">
        <x:f>E322/F322</x:f>
        <x:v>0.002599480103979204</x:v>
      </x:c>
      <x:c r="H322" s="82" t="n">
        <x:v>147.17182923429013</x:v>
      </x:c>
      <x:c r="I322" s="82" t="n">
        <x:v>-35.750272828877826</x:v>
      </x:c>
      <x:c r="J322" s="83" t="n">
        <x:v>5749.3875</x:v>
      </x:c>
    </x:row>
    <x:row r="323">
      <x:c r="A323" s="78" t="n">
        <x:v>2021</x:v>
      </x:c>
      <x:c r="B323" s="79" t="str">
        <x:v>14220</x:v>
      </x:c>
      <x:c r="C323" s="18" t="str">
        <x:v>Inverell</x:v>
      </x:c>
      <x:c r="D323" s="18" t="str">
        <x:v>New South Wales</x:v>
      </x:c>
      <x:c r="E323" s="80" t="n">
        <x:v>13</x:v>
      </x:c>
      <x:c r="F323" s="80" t="n">
        <x:v>7070</x:v>
      </x:c>
      <x:c r="G323" s="81" t="n">
        <x:f>E323/F323</x:f>
        <x:v>0.0018387553041018388</x:v>
      </x:c>
      <x:c r="H323" s="82" t="n">
        <x:v>151.07517534332598</x:v>
      </x:c>
      <x:c r="I323" s="82" t="n">
        <x:v>-29.41884990115295</x:v>
      </x:c>
      <x:c r="J323" s="83" t="n">
        <x:v>9404.7564</x:v>
      </x:c>
    </x:row>
    <x:row r="324">
      <x:c r="A324" s="78" t="n">
        <x:v>2021</x:v>
      </x:c>
      <x:c r="B324" s="79" t="str">
        <x:v>56730</x:v>
      </x:c>
      <x:c r="C324" s="18" t="str">
        <x:v>Northam</x:v>
      </x:c>
      <x:c r="D324" s="18" t="str">
        <x:v>Western Australia</x:v>
      </x:c>
      <x:c r="E324" s="80" t="n">
        <x:v>13</x:v>
      </x:c>
      <x:c r="F324" s="80" t="n">
        <x:v>4577</x:v>
      </x:c>
      <x:c r="G324" s="81" t="n">
        <x:f>E324/F324</x:f>
        <x:v>0.002840288398514311</x:v>
      </x:c>
      <x:c r="H324" s="82" t="n">
        <x:v>116.63599605683767</x:v>
      </x:c>
      <x:c r="I324" s="82" t="n">
        <x:v>-31.685947329620916</x:v>
      </x:c>
      <x:c r="J324" s="83" t="n">
        <x:v>1431.2215</x:v>
      </x:c>
    </x:row>
    <x:row r="325">
      <x:c r="A325" s="78" t="n">
        <x:v>2021</x:v>
      </x:c>
      <x:c r="B325" s="79" t="str">
        <x:v>64610</x:v>
      </x:c>
      <x:c r="C325" s="18" t="str">
        <x:v>Northern Midlands</x:v>
      </x:c>
      <x:c r="D325" s="18" t="str">
        <x:v>Tasmania</x:v>
      </x:c>
      <x:c r="E325" s="80" t="n">
        <x:v>13</x:v>
      </x:c>
      <x:c r="F325" s="80" t="n">
        <x:v>6313</x:v>
      </x:c>
      <x:c r="G325" s="81" t="n">
        <x:f>E325/F325</x:f>
        <x:v>0.0020592428322509107</x:v>
      </x:c>
      <x:c r="H325" s="82" t="n">
        <x:v>147.46016821504077</x:v>
      </x:c>
      <x:c r="I325" s="82" t="n">
        <x:v>-41.84018692552644</x:v>
      </x:c>
      <x:c r="J325" s="83" t="n">
        <x:v>5135.2505</x:v>
      </x:c>
    </x:row>
    <x:row r="326">
      <x:c r="A326" s="78" t="n">
        <x:v>2021</x:v>
      </x:c>
      <x:c r="B326" s="79" t="str">
        <x:v>48130</x:v>
      </x:c>
      <x:c r="C326" s="18" t="str">
        <x:v>Wakefield</x:v>
      </x:c>
      <x:c r="D326" s="18" t="str">
        <x:v>South Australia</x:v>
      </x:c>
      <x:c r="E326" s="80" t="n">
        <x:v>13</x:v>
      </x:c>
      <x:c r="F326" s="80" t="n">
        <x:v>2869</x:v>
      </x:c>
      <x:c r="G326" s="81" t="n">
        <x:f>E326/F326</x:f>
        <x:v>0.004531195538515162</x:v>
      </x:c>
      <x:c r="H326" s="82" t="n">
        <x:v>138.35650495505007</x:v>
      </x:c>
      <x:c r="I326" s="82" t="n">
        <x:v>-33.9914453449078</x:v>
      </x:c>
      <x:c r="J326" s="83" t="n">
        <x:v>3468.4879</x:v>
      </x:c>
    </x:row>
    <x:row r="327">
      <x:c r="A327" s="78" t="n">
        <x:v>2021</x:v>
      </x:c>
      <x:c r="B327" s="79" t="str">
        <x:v>26890</x:v>
      </x:c>
      <x:c r="C327" s="18" t="str">
        <x:v>West Wimmera</x:v>
      </x:c>
      <x:c r="D327" s="18" t="str">
        <x:v>Victoria</x:v>
      </x:c>
      <x:c r="E327" s="80" t="n">
        <x:v>13</x:v>
      </x:c>
      <x:c r="F327" s="80" t="n">
        <x:v>1877</x:v>
      </x:c>
      <x:c r="G327" s="81" t="n">
        <x:f>E327/F327</x:f>
        <x:v>0.006925945657964837</x:v>
      </x:c>
      <x:c r="H327" s="82" t="n">
        <x:v>141.27934712547778</x:v>
      </x:c>
      <x:c r="I327" s="82" t="n">
        <x:v>-36.67557587358004</x:v>
      </x:c>
      <x:c r="J327" s="83" t="n">
        <x:v>9108.6794</x:v>
      </x:c>
    </x:row>
    <x:row r="328">
      <x:c r="A328" s="78" t="n">
        <x:v>2021</x:v>
      </x:c>
      <x:c r="B328" s="79" t="str">
        <x:v>32500</x:v>
      </x:c>
      <x:c r="C328" s="18" t="str">
        <x:v>Cook</x:v>
      </x:c>
      <x:c r="D328" s="18" t="str">
        <x:v>Queensland</x:v>
      </x:c>
      <x:c r="E328" s="80" t="n">
        <x:v>12</x:v>
      </x:c>
      <x:c r="F328" s="80" t="n">
        <x:v>1803</x:v>
      </x:c>
      <x:c r="G328" s="81" t="n">
        <x:f>E328/F328</x:f>
        <x:v>0.0066555740432612314</x:v>
      </x:c>
      <x:c r="H328" s="82" t="n">
        <x:v>143.2596625226811</x:v>
      </x:c>
      <x:c r="I328" s="82" t="n">
        <x:v>-14.23596916647891</x:v>
      </x:c>
      <x:c r="J328" s="83" t="n">
        <x:v>105717.7521</x:v>
      </x:c>
    </x:row>
    <x:row r="329">
      <x:c r="A329" s="78" t="n">
        <x:v>2021</x:v>
      </x:c>
      <x:c r="B329" s="79" t="str">
        <x:v>22490</x:v>
      </x:c>
      <x:c r="C329" s="18" t="str">
        <x:v>Golden Plains</x:v>
      </x:c>
      <x:c r="D329" s="18" t="str">
        <x:v>Victoria</x:v>
      </x:c>
      <x:c r="E329" s="80" t="n">
        <x:v>12</x:v>
      </x:c>
      <x:c r="F329" s="80" t="n">
        <x:v>12341</x:v>
      </x:c>
      <x:c r="G329" s="81" t="n">
        <x:f>E329/F329</x:f>
        <x:v>0.0009723685276719876</x:v>
      </x:c>
      <x:c r="H329" s="82" t="n">
        <x:v>143.84251105851362</x:v>
      </x:c>
      <x:c r="I329" s="82" t="n">
        <x:v>-37.88206521893191</x:v>
      </x:c>
      <x:c r="J329" s="83" t="n">
        <x:v>2703.3899</x:v>
      </x:c>
    </x:row>
    <x:row r="330">
      <x:c r="A330" s="78" t="n">
        <x:v>2021</x:v>
      </x:c>
      <x:c r="B330" s="79" t="str">
        <x:v>22980</x:v>
      </x:c>
      <x:c r="C330" s="18" t="str">
        <x:v>Hindmarsh</x:v>
      </x:c>
      <x:c r="D330" s="18" t="str">
        <x:v>Victoria</x:v>
      </x:c>
      <x:c r="E330" s="80" t="n">
        <x:v>12</x:v>
      </x:c>
      <x:c r="F330" s="80" t="n">
        <x:v>2402</x:v>
      </x:c>
      <x:c r="G330" s="81" t="n">
        <x:f>E330/F330</x:f>
        <x:v>0.004995836802664446</x:v>
      </x:c>
      <x:c r="H330" s="82" t="n">
        <x:v>141.7525541486843</x:v>
      </x:c>
      <x:c r="I330" s="82" t="n">
        <x:v>-36.05151799358072</x:v>
      </x:c>
      <x:c r="J330" s="83" t="n">
        <x:v>7524.1823</x:v>
      </x:c>
    </x:row>
    <x:row r="331">
      <x:c r="A331" s="78" t="n">
        <x:v>2021</x:v>
      </x:c>
      <x:c r="B331" s="79" t="str">
        <x:v>14100</x:v>
      </x:c>
      <x:c r="C331" s="18" t="str">
        <x:v>Hunters Hill</x:v>
      </x:c>
      <x:c r="D331" s="18" t="str">
        <x:v>New South Wales</x:v>
      </x:c>
      <x:c r="E331" s="80" t="n">
        <x:v>12</x:v>
      </x:c>
      <x:c r="F331" s="80" t="n">
        <x:v>6220</x:v>
      </x:c>
      <x:c r="G331" s="81" t="n">
        <x:f>E331/F331</x:f>
        <x:v>0.0019292604501607716</x:v>
      </x:c>
      <x:c r="H331" s="82" t="n">
        <x:v>151.14513046835071</x:v>
      </x:c>
      <x:c r="I331" s="82" t="n">
        <x:v>-33.83335217237066</x:v>
      </x:c>
      <x:c r="J331" s="83" t="n">
        <x:v>5.7169</x:v>
      </x:c>
    </x:row>
    <x:row r="332">
      <x:c r="A332" s="78" t="n">
        <x:v>2021</x:v>
      </x:c>
      <x:c r="B332" s="79" t="str">
        <x:v>42750</x:v>
      </x:c>
      <x:c r="C332" s="18" t="str">
        <x:v>Kangaroo Island</x:v>
      </x:c>
      <x:c r="D332" s="18" t="str">
        <x:v>South Australia</x:v>
      </x:c>
      <x:c r="E332" s="80" t="n">
        <x:v>12</x:v>
      </x:c>
      <x:c r="F332" s="80" t="n">
        <x:v>2290</x:v>
      </x:c>
      <x:c r="G332" s="81" t="n">
        <x:f>E332/F332</x:f>
        <x:v>0.005240174672489083</x:v>
      </x:c>
      <x:c r="H332" s="82" t="n">
        <x:v>137.23976953921573</x:v>
      </x:c>
      <x:c r="I332" s="82" t="n">
        <x:v>-35.82781933787771</x:v>
      </x:c>
      <x:c r="J332" s="83" t="n">
        <x:v>4400.863</x:v>
      </x:c>
    </x:row>
    <x:row r="333">
      <x:c r="A333" s="78" t="n">
        <x:v>2021</x:v>
      </x:c>
      <x:c r="B333" s="79" t="str">
        <x:v>35600</x:v>
      </x:c>
      <x:c r="C333" s="18" t="str">
        <x:v>Murweh</x:v>
      </x:c>
      <x:c r="D333" s="18" t="str">
        <x:v>Queensland</x:v>
      </x:c>
      <x:c r="E333" s="80" t="n">
        <x:v>12</x:v>
      </x:c>
      <x:c r="F333" s="80" t="n">
        <x:v>1869</x:v>
      </x:c>
      <x:c r="G333" s="81" t="n">
        <x:f>E333/F333</x:f>
        <x:v>0.006420545746388443</x:v>
      </x:c>
      <x:c r="H333" s="82" t="n">
        <x:v>146.48947618114306</x:v>
      </x:c>
      <x:c r="I333" s="82" t="n">
        <x:v>-26.189679568371925</x:v>
      </x:c>
      <x:c r="J333" s="83" t="n">
        <x:v>40699.7586</x:v>
      </x:c>
    </x:row>
    <x:row r="334">
      <x:c r="A334" s="78" t="n">
        <x:v>2021</x:v>
      </x:c>
      <x:c r="B334" s="79" t="str">
        <x:v>46670</x:v>
      </x:c>
      <x:c r="C334" s="18" t="str">
        <x:v>Renmark Paringa</x:v>
      </x:c>
      <x:c r="D334" s="18" t="str">
        <x:v>South Australia</x:v>
      </x:c>
      <x:c r="E334" s="80" t="n">
        <x:v>12</x:v>
      </x:c>
      <x:c r="F334" s="80" t="n">
        <x:v>4486</x:v>
      </x:c>
      <x:c r="G334" s="81" t="n">
        <x:f>E334/F334</x:f>
        <x:v>0.0026749888542131075</x:v>
      </x:c>
      <x:c r="H334" s="82" t="n">
        <x:v>140.81411467205223</x:v>
      </x:c>
      <x:c r="I334" s="82" t="n">
        <x:v>-34.182274367339616</x:v>
      </x:c>
      <x:c r="J334" s="83" t="n">
        <x:v>916.442</x:v>
      </x:c>
    </x:row>
    <x:row r="335">
      <x:c r="A335" s="78" t="n">
        <x:v>2021</x:v>
      </x:c>
      <x:c r="B335" s="79" t="str">
        <x:v>17000</x:v>
      </x:c>
      <x:c r="C335" s="18" t="str">
        <x:v>Singleton</x:v>
      </x:c>
      <x:c r="D335" s="18" t="str">
        <x:v>New South Wales</x:v>
      </x:c>
      <x:c r="E335" s="80" t="n">
        <x:v>12</x:v>
      </x:c>
      <x:c r="F335" s="80" t="n">
        <x:v>12105</x:v>
      </x:c>
      <x:c r="G335" s="81" t="n">
        <x:f>E335/F335</x:f>
        <x:v>0.0009913258983890955</x:v>
      </x:c>
      <x:c r="H335" s="82" t="n">
        <x:v>150.96453304310398</x:v>
      </x:c>
      <x:c r="I335" s="82" t="n">
        <x:v>-32.66037848450008</x:v>
      </x:c>
      <x:c r="J335" s="83" t="n">
        <x:v>4892.7168</x:v>
      </x:c>
    </x:row>
    <x:row r="336">
      <x:c r="A336" s="78" t="n">
        <x:v>2021</x:v>
      </x:c>
      <x:c r="B336" s="79" t="str">
        <x:v>17350</x:v>
      </x:c>
      <x:c r="C336" s="18" t="str">
        <x:v>Temora</x:v>
      </x:c>
      <x:c r="D336" s="18" t="str">
        <x:v>New South Wales</x:v>
      </x:c>
      <x:c r="E336" s="80" t="n">
        <x:v>12</x:v>
      </x:c>
      <x:c r="F336" s="80" t="n">
        <x:v>2685</x:v>
      </x:c>
      <x:c r="G336" s="81" t="n">
        <x:f>E336/F336</x:f>
        <x:v>0.004469273743016759</x:v>
      </x:c>
      <x:c r="H336" s="82" t="n">
        <x:v>147.48365633647472</x:v>
      </x:c>
      <x:c r="I336" s="82" t="n">
        <x:v>-34.387939589171424</x:v>
      </x:c>
      <x:c r="J336" s="83" t="n">
        <x:v>2802.0159</x:v>
      </x:c>
    </x:row>
    <x:row r="337">
      <x:c r="A337" s="78" t="n">
        <x:v>2021</x:v>
      </x:c>
      <x:c r="B337" s="79" t="str">
        <x:v>26670</x:v>
      </x:c>
      <x:c r="C337" s="18" t="str">
        <x:v>Towong</x:v>
      </x:c>
      <x:c r="D337" s="18" t="str">
        <x:v>Victoria</x:v>
      </x:c>
      <x:c r="E337" s="80" t="n">
        <x:v>12</x:v>
      </x:c>
      <x:c r="F337" s="80" t="n">
        <x:v>2856</x:v>
      </x:c>
      <x:c r="G337" s="81" t="n">
        <x:f>E337/F337</x:f>
        <x:v>0.004201680672268907</x:v>
      </x:c>
      <x:c r="H337" s="82" t="n">
        <x:v>147.59885282973818</x:v>
      </x:c>
      <x:c r="I337" s="82" t="n">
        <x:v>-36.354434270333265</x:v>
      </x:c>
      <x:c r="J337" s="83" t="n">
        <x:v>6675.1725</x:v>
      </x:c>
    </x:row>
    <x:row r="338">
      <x:c r="A338" s="78" t="n">
        <x:v>2021</x:v>
      </x:c>
      <x:c r="B338" s="79" t="str">
        <x:v>48340</x:v>
      </x:c>
      <x:c r="C338" s="18" t="str">
        <x:v>Wattle Range</x:v>
      </x:c>
      <x:c r="D338" s="18" t="str">
        <x:v>South Australia</x:v>
      </x:c>
      <x:c r="E338" s="80" t="n">
        <x:v>12</x:v>
      </x:c>
      <x:c r="F338" s="80" t="n">
        <x:v>5200</x:v>
      </x:c>
      <x:c r="G338" s="81" t="n">
        <x:f>E338/F338</x:f>
        <x:v>0.002307692307692308</x:v>
      </x:c>
      <x:c r="H338" s="82" t="n">
        <x:v>140.51886377536295</x:v>
      </x:c>
      <x:c r="I338" s="82" t="n">
        <x:v>-37.47041049411161</x:v>
      </x:c>
      <x:c r="J338" s="83" t="n">
        <x:v>3926.2101</x:v>
      </x:c>
    </x:row>
    <x:row r="339">
      <x:c r="A339" s="78" t="n">
        <x:v>2021</x:v>
      </x:c>
      <x:c r="B339" s="79" t="str">
        <x:v>48830</x:v>
      </x:c>
      <x:c r="C339" s="18" t="str">
        <x:v>Yorke Peninsula</x:v>
      </x:c>
      <x:c r="D339" s="18" t="str">
        <x:v>South Australia</x:v>
      </x:c>
      <x:c r="E339" s="80" t="n">
        <x:v>12</x:v>
      </x:c>
      <x:c r="F339" s="80" t="n">
        <x:v>4168</x:v>
      </x:c>
      <x:c r="G339" s="81" t="n">
        <x:f>E339/F339</x:f>
        <x:v>0.0028790786948176585</x:v>
      </x:c>
      <x:c r="H339" s="82" t="n">
        <x:v>137.55994231614045</x:v>
      </x:c>
      <x:c r="I339" s="82" t="n">
        <x:v>-34.68371130456192</x:v>
      </x:c>
      <x:c r="J339" s="83" t="n">
        <x:v>5899.6397</x:v>
      </x:c>
    </x:row>
    <x:row r="340">
      <x:c r="A340" s="78" t="n">
        <x:v>2021</x:v>
      </x:c>
      <x:c r="B340" s="79" t="str">
        <x:v>12350</x:v>
      </x:c>
      <x:c r="C340" s="18" t="str">
        <x:v>Cowra</x:v>
      </x:c>
      <x:c r="D340" s="18" t="str">
        <x:v>New South Wales</x:v>
      </x:c>
      <x:c r="E340" s="80" t="n">
        <x:v>11</x:v>
      </x:c>
      <x:c r="F340" s="80" t="n">
        <x:v>5158</x:v>
      </x:c>
      <x:c r="G340" s="81" t="n">
        <x:f>E340/F340</x:f>
        <x:v>0.0021326095385808454</x:v>
      </x:c>
      <x:c r="H340" s="82" t="n">
        <x:v>148.71795033915234</x:v>
      </x:c>
      <x:c r="I340" s="82" t="n">
        <x:v>-33.796383307984016</x:v>
      </x:c>
      <x:c r="J340" s="83" t="n">
        <x:v>2808.7821</x:v>
      </x:c>
    </x:row>
    <x:row r="341">
      <x:c r="A341" s="78" t="n">
        <x:v>2021</x:v>
      </x:c>
      <x:c r="B341" s="79" t="str">
        <x:v>13550</x:v>
      </x:c>
      <x:c r="C341" s="18" t="str">
        <x:v>Gunnedah</x:v>
      </x:c>
      <x:c r="D341" s="18" t="str">
        <x:v>New South Wales</x:v>
      </x:c>
      <x:c r="E341" s="80" t="n">
        <x:v>11</x:v>
      </x:c>
      <x:c r="F341" s="80" t="n">
        <x:v>5873</x:v>
      </x:c>
      <x:c r="G341" s="81" t="n">
        <x:f>E341/F341</x:f>
        <x:v>0.0018729780350757704</x:v>
      </x:c>
      <x:c r="H341" s="82" t="n">
        <x:v>150.18888966571433</x:v>
      </x:c>
      <x:c r="I341" s="82" t="n">
        <x:v>-31.046545681133924</x:v>
      </x:c>
      <x:c r="J341" s="83" t="n">
        <x:v>4987.0295</x:v>
      </x:c>
    </x:row>
    <x:row r="342">
      <x:c r="A342" s="78" t="n">
        <x:v>2021</x:v>
      </x:c>
      <x:c r="B342" s="79" t="str">
        <x:v>13850</x:v>
      </x:c>
      <x:c r="C342" s="18" t="str">
        <x:v>Hay</x:v>
      </x:c>
      <x:c r="D342" s="18" t="str">
        <x:v>New South Wales</x:v>
      </x:c>
      <x:c r="E342" s="80" t="n">
        <x:v>11</x:v>
      </x:c>
      <x:c r="F342" s="80" t="n">
        <x:v>1286</x:v>
      </x:c>
      <x:c r="G342" s="81" t="n">
        <x:f>E342/F342</x:f>
        <x:v>0.008553654743390357</x:v>
      </x:c>
      <x:c r="H342" s="82" t="n">
        <x:v>144.68369998434946</x:v>
      </x:c>
      <x:c r="I342" s="82" t="n">
        <x:v>-34.31586210518037</x:v>
      </x:c>
      <x:c r="J342" s="83" t="n">
        <x:v>11325.9324</x:v>
      </x:c>
    </x:row>
    <x:row r="343">
      <x:c r="A343" s="78" t="n">
        <x:v>2021</x:v>
      </x:c>
      <x:c r="B343" s="79" t="str">
        <x:v>54620</x:v>
      </x:c>
      <x:c r="C343" s="18" t="str">
        <x:v>Kondinin</x:v>
      </x:c>
      <x:c r="D343" s="18" t="str">
        <x:v>Western Australia</x:v>
      </x:c>
      <x:c r="E343" s="80" t="n">
        <x:v>11</x:v>
      </x:c>
      <x:c r="F343" s="80" t="n">
        <x:v>459</x:v>
      </x:c>
      <x:c r="G343" s="81" t="n">
        <x:f>E343/F343</x:f>
        <x:v>0.023965141612200435</x:v>
      </x:c>
      <x:c r="H343" s="82" t="n">
        <x:v>119.1847991827907</x:v>
      </x:c>
      <x:c r="I343" s="82" t="n">
        <x:v>-32.42731713727658</x:v>
      </x:c>
      <x:c r="J343" s="83" t="n">
        <x:v>7440.8016</x:v>
      </x:c>
    </x:row>
    <x:row r="344">
      <x:c r="A344" s="78" t="n">
        <x:v>2021</x:v>
      </x:c>
      <x:c r="B344" s="79" t="str">
        <x:v>43650</x:v>
      </x:c>
      <x:c r="C344" s="18" t="str">
        <x:v>Light</x:v>
      </x:c>
      <x:c r="D344" s="18" t="str">
        <x:v>South Australia</x:v>
      </x:c>
      <x:c r="E344" s="80" t="n">
        <x:v>11</x:v>
      </x:c>
      <x:c r="F344" s="80" t="n">
        <x:v>8102</x:v>
      </x:c>
      <x:c r="G344" s="81" t="n">
        <x:f>E344/F344</x:f>
        <x:v>0.0013576894593927426</x:v>
      </x:c>
      <x:c r="H344" s="82" t="n">
        <x:v>138.84649428403588</x:v>
      </x:c>
      <x:c r="I344" s="82" t="n">
        <x:v>-34.41110559280058</x:v>
      </x:c>
      <x:c r="J344" s="83" t="n">
        <x:v>1276.8453</x:v>
      </x:c>
    </x:row>
    <x:row r="345">
      <x:c r="A345" s="78" t="n">
        <x:v>2021</x:v>
      </x:c>
      <x:c r="B345" s="79" t="str">
        <x:v>17400</x:v>
      </x:c>
      <x:c r="C345" s="18" t="str">
        <x:v>Tenterfield</x:v>
      </x:c>
      <x:c r="D345" s="18" t="str">
        <x:v>New South Wales</x:v>
      </x:c>
      <x:c r="E345" s="80" t="n">
        <x:v>11</x:v>
      </x:c>
      <x:c r="F345" s="80" t="n">
        <x:v>2431</x:v>
      </x:c>
      <x:c r="G345" s="81" t="n">
        <x:f>E345/F345</x:f>
        <x:v>0.004524886877828055</x:v>
      </x:c>
      <x:c r="H345" s="82" t="n">
        <x:v>152.08638973838967</x:v>
      </x:c>
      <x:c r="I345" s="82" t="n">
        <x:v>-28.943823241209707</x:v>
      </x:c>
      <x:c r="J345" s="83" t="n">
        <x:v>7324.3072</x:v>
      </x:c>
    </x:row>
    <x:row r="346">
      <x:c r="A346" s="78" t="n">
        <x:v>2021</x:v>
      </x:c>
      <x:c r="B346" s="79" t="str">
        <x:v>17900</x:v>
      </x:c>
      <x:c r="C346" s="18" t="str">
        <x:v>Walgett</x:v>
      </x:c>
      <x:c r="D346" s="18" t="str">
        <x:v>New South Wales</x:v>
      </x:c>
      <x:c r="E346" s="80" t="n">
        <x:v>11</x:v>
      </x:c>
      <x:c r="F346" s="80" t="n">
        <x:v>1668</x:v>
      </x:c>
      <x:c r="G346" s="81" t="n">
        <x:f>E346/F346</x:f>
        <x:v>0.006594724220623501</x:v>
      </x:c>
      <x:c r="H346" s="82" t="n">
        <x:v>148.1944531375928</x:v>
      </x:c>
      <x:c r="I346" s="82" t="n">
        <x:v>-29.81667786138863</x:v>
      </x:c>
      <x:c r="J346" s="83" t="n">
        <x:v>22308.2528</x:v>
      </x:c>
    </x:row>
    <x:row r="347">
      <x:c r="A347" s="78" t="n">
        <x:v>2021</x:v>
      </x:c>
      <x:c r="B347" s="79" t="str">
        <x:v>40520</x:v>
      </x:c>
      <x:c r="C347" s="18" t="str">
        <x:v>Berri Barmera</x:v>
      </x:c>
      <x:c r="D347" s="18" t="str">
        <x:v>South Australia</x:v>
      </x:c>
      <x:c r="E347" s="80" t="n">
        <x:v>10</x:v>
      </x:c>
      <x:c r="F347" s="80" t="n">
        <x:v>4580</x:v>
      </x:c>
      <x:c r="G347" s="81" t="n">
        <x:f>E347/F347</x:f>
        <x:v>0.002183406113537118</x:v>
      </x:c>
      <x:c r="H347" s="82" t="n">
        <x:v>140.48890570282484</x:v>
      </x:c>
      <x:c r="I347" s="82" t="n">
        <x:v>-34.265854408866765</x:v>
      </x:c>
      <x:c r="J347" s="83" t="n">
        <x:v>476.1962</x:v>
      </x:c>
    </x:row>
    <x:row r="348">
      <x:c r="A348" s="78" t="n">
        <x:v>2021</x:v>
      </x:c>
      <x:c r="B348" s="79" t="str">
        <x:v>60210</x:v>
      </x:c>
      <x:c r="C348" s="18" t="str">
        <x:v>Break O'Day</x:v>
      </x:c>
      <x:c r="D348" s="18" t="str">
        <x:v>Tasmania</x:v>
      </x:c>
      <x:c r="E348" s="80" t="n">
        <x:v>10</x:v>
      </x:c>
      <x:c r="F348" s="80" t="n">
        <x:v>2328</x:v>
      </x:c>
      <x:c r="G348" s="81" t="n">
        <x:f>E348/F348</x:f>
        <x:v>0.00429553264604811</x:v>
      </x:c>
      <x:c r="H348" s="82" t="n">
        <x:v>148.049894605184</x:v>
      </x:c>
      <x:c r="I348" s="82" t="n">
        <x:v>-41.425307956739395</x:v>
      </x:c>
      <x:c r="J348" s="83" t="n">
        <x:v>3523.8858</x:v>
      </x:c>
    </x:row>
    <x:row r="349">
      <x:c r="A349" s="78" t="n">
        <x:v>2021</x:v>
      </x:c>
      <x:c r="B349" s="79" t="str">
        <x:v>32250</x:v>
      </x:c>
      <x:c r="C349" s="18" t="str">
        <x:v>Carpentaria</x:v>
      </x:c>
      <x:c r="D349" s="18" t="str">
        <x:v>Queensland</x:v>
      </x:c>
      <x:c r="E349" s="80" t="n">
        <x:v>10</x:v>
      </x:c>
      <x:c r="F349" s="80" t="n">
        <x:v>888</x:v>
      </x:c>
      <x:c r="G349" s="81" t="n">
        <x:f>E349/F349</x:f>
        <x:v>0.01126126126126126</x:v>
      </x:c>
      <x:c r="H349" s="82" t="n">
        <x:v>141.36474591716768</x:v>
      </x:c>
      <x:c r="I349" s="82" t="n">
        <x:v>-17.444397121440506</x:v>
      </x:c>
      <x:c r="J349" s="83" t="n">
        <x:v>64121.0123</x:v>
      </x:c>
    </x:row>
    <x:row r="350">
      <x:c r="A350" s="78" t="n">
        <x:v>2021</x:v>
      </x:c>
      <x:c r="B350" s="79" t="str">
        <x:v>41140</x:v>
      </x:c>
      <x:c r="C350" s="18" t="str">
        <x:v>Clare and Gilbert Valleys</x:v>
      </x:c>
      <x:c r="D350" s="18" t="str">
        <x:v>South Australia</x:v>
      </x:c>
      <x:c r="E350" s="80" t="n">
        <x:v>10</x:v>
      </x:c>
      <x:c r="F350" s="80" t="n">
        <x:v>4337</x:v>
      </x:c>
      <x:c r="G350" s="81" t="n">
        <x:f>E350/F350</x:f>
        <x:v>0.002305741295826608</x:v>
      </x:c>
      <x:c r="H350" s="82" t="n">
        <x:v>138.73596946252775</x:v>
      </x:c>
      <x:c r="I350" s="82" t="n">
        <x:v>-34.00397012885519</x:v>
      </x:c>
      <x:c r="J350" s="83" t="n">
        <x:v>1892.4466</x:v>
      </x:c>
    </x:row>
    <x:row r="351">
      <x:c r="A351" s="78" t="n">
        <x:v>2021</x:v>
      </x:c>
      <x:c r="B351" s="79" t="str">
        <x:v>70700</x:v>
      </x:c>
      <x:c r="C351" s="18" t="str">
        <x:v>Coomalie</x:v>
      </x:c>
      <x:c r="D351" s="18" t="str">
        <x:v>Northern Territory</x:v>
      </x:c>
      <x:c r="E351" s="80" t="n">
        <x:v>10</x:v>
      </x:c>
      <x:c r="F351" s="80" t="n">
        <x:v>435</x:v>
      </x:c>
      <x:c r="G351" s="81" t="n">
        <x:f>E351/F351</x:f>
        <x:v>0.022988505747126436</x:v>
      </x:c>
      <x:c r="H351" s="82" t="n">
        <x:v>131.0828540677415</x:v>
      </x:c>
      <x:c r="I351" s="82" t="n">
        <x:v>-13.125752179296596</x:v>
      </x:c>
      <x:c r="J351" s="83" t="n">
        <x:v>2056.0547</x:v>
      </x:c>
    </x:row>
    <x:row r="352">
      <x:c r="A352" s="78" t="n">
        <x:v>2021</x:v>
      </x:c>
      <x:c r="B352" s="79" t="str">
        <x:v>13010</x:v>
      </x:c>
      <x:c r="C352" s="18" t="str">
        <x:v>Glen Innes Severn</x:v>
      </x:c>
      <x:c r="D352" s="18" t="str">
        <x:v>New South Wales</x:v>
      </x:c>
      <x:c r="E352" s="80" t="n">
        <x:v>10</x:v>
      </x:c>
      <x:c r="F352" s="80" t="n">
        <x:v>3336</x:v>
      </x:c>
      <x:c r="G352" s="81" t="n">
        <x:f>E352/F352</x:f>
        <x:v>0.002997601918465228</x:v>
      </x:c>
      <x:c r="H352" s="82" t="n">
        <x:v>151.9030424502738</x:v>
      </x:c>
      <x:c r="I352" s="82" t="n">
        <x:v>-29.644986401624802</x:v>
      </x:c>
      <x:c r="J352" s="83" t="n">
        <x:v>5479.977</x:v>
      </x:c>
    </x:row>
    <x:row r="353">
      <x:c r="A353" s="78" t="n">
        <x:v>2021</x:v>
      </x:c>
      <x:c r="B353" s="79" t="str">
        <x:v>13910</x:v>
      </x:c>
      <x:c r="C353" s="18" t="str">
        <x:v>Hilltops</x:v>
      </x:c>
      <x:c r="D353" s="18" t="str">
        <x:v>New South Wales</x:v>
      </x:c>
      <x:c r="E353" s="80" t="n">
        <x:v>10</x:v>
      </x:c>
      <x:c r="F353" s="80" t="n">
        <x:v>8050</x:v>
      </x:c>
      <x:c r="G353" s="81" t="n">
        <x:f>E353/F353</x:f>
        <x:v>0.0012422360248447205</x:v>
      </x:c>
      <x:c r="H353" s="82" t="n">
        <x:v>148.50095747035772</x:v>
      </x:c>
      <x:c r="I353" s="82" t="n">
        <x:v>-34.35200990908825</x:v>
      </x:c>
      <x:c r="J353" s="83" t="n">
        <x:v>7140.8865</x:v>
      </x:c>
    </x:row>
    <x:row r="354">
      <x:c r="A354" s="78" t="n">
        <x:v>2021</x:v>
      </x:c>
      <x:c r="B354" s="79" t="str">
        <x:v>54060</x:v>
      </x:c>
      <x:c r="C354" s="18" t="str">
        <x:v>Irwin</x:v>
      </x:c>
      <x:c r="D354" s="18" t="str">
        <x:v>Western Australia</x:v>
      </x:c>
      <x:c r="E354" s="80" t="n">
        <x:v>10</x:v>
      </x:c>
      <x:c r="F354" s="80" t="n">
        <x:v>1465</x:v>
      </x:c>
      <x:c r="G354" s="81" t="n">
        <x:f>E354/F354</x:f>
        <x:v>0.006825938566552901</x:v>
      </x:c>
      <x:c r="H354" s="82" t="n">
        <x:v>115.09181131056869</x:v>
      </x:c>
      <x:c r="I354" s="82" t="n">
        <x:v>-29.32604198075034</x:v>
      </x:c>
      <x:c r="J354" s="83" t="n">
        <x:v>2369.3298</x:v>
      </x:c>
    </x:row>
    <x:row r="355">
      <x:c r="A355" s="78" t="n">
        <x:v>2021</x:v>
      </x:c>
      <x:c r="B355" s="79" t="str">
        <x:v>56300</x:v>
      </x:c>
      <x:c r="C355" s="18" t="str">
        <x:v>Nannup</x:v>
      </x:c>
      <x:c r="D355" s="18" t="str">
        <x:v>Western Australia</x:v>
      </x:c>
      <x:c r="E355" s="80" t="n">
        <x:v>10</x:v>
      </x:c>
      <x:c r="F355" s="80" t="n">
        <x:v>617</x:v>
      </x:c>
      <x:c r="G355" s="81" t="n">
        <x:f>E355/F355</x:f>
        <x:v>0.01620745542949757</x:v>
      </x:c>
      <x:c r="H355" s="82" t="n">
        <x:v>115.6638961350917</x:v>
      </x:c>
      <x:c r="I355" s="82" t="n">
        <x:v>-34.12843586271312</x:v>
      </x:c>
      <x:c r="J355" s="83" t="n">
        <x:v>3053.9361</x:v>
      </x:c>
    </x:row>
    <x:row r="356">
      <x:c r="A356" s="78" t="n">
        <x:v>2021</x:v>
      </x:c>
      <x:c r="B356" s="79" t="str">
        <x:v>18200</x:v>
      </x:c>
      <x:c r="C356" s="18" t="str">
        <x:v>Wentworth</x:v>
      </x:c>
      <x:c r="D356" s="18" t="str">
        <x:v>New South Wales</x:v>
      </x:c>
      <x:c r="E356" s="80" t="n">
        <x:v>10</x:v>
      </x:c>
      <x:c r="F356" s="80" t="n">
        <x:v>3174</x:v>
      </x:c>
      <x:c r="G356" s="81" t="n">
        <x:f>E356/F356</x:f>
        <x:v>0.00315059861373661</x:v>
      </x:c>
      <x:c r="H356" s="82" t="n">
        <x:v>142.24289073320028</x:v>
      </x:c>
      <x:c r="I356" s="82" t="n">
        <x:v>-33.57021051229119</x:v>
      </x:c>
      <x:c r="J356" s="83" t="n">
        <x:v>26255.9338</x:v>
      </x:c>
    </x:row>
    <x:row r="357">
      <x:c r="A357" s="78" t="n">
        <x:v>2021</x:v>
      </x:c>
      <x:c r="B357" s="79" t="str">
        <x:v>11750</x:v>
      </x:c>
      <x:c r="C357" s="18" t="str">
        <x:v>Cobar</x:v>
      </x:c>
      <x:c r="D357" s="18" t="str">
        <x:v>New South Wales</x:v>
      </x:c>
      <x:c r="E357" s="80" t="n">
        <x:v>9</x:v>
      </x:c>
      <x:c r="F357" s="80" t="n">
        <x:v>1844</x:v>
      </x:c>
      <x:c r="G357" s="81" t="n">
        <x:f>E357/F357</x:f>
        <x:v>0.004880694143167028</x:v>
      </x:c>
      <x:c r="H357" s="82" t="n">
        <x:v>145.4828503072118</x:v>
      </x:c>
      <x:c r="I357" s="82" t="n">
        <x:v>-31.86798135117005</x:v>
      </x:c>
      <x:c r="J357" s="83" t="n">
        <x:v>45575.3512</x:v>
      </x:c>
    </x:row>
    <x:row r="358">
      <x:c r="A358" s="78" t="n">
        <x:v>2021</x:v>
      </x:c>
      <x:c r="B358" s="79" t="str">
        <x:v>53080</x:v>
      </x:c>
      <x:c r="C358" s="18" t="str">
        <x:v>Dundas</x:v>
      </x:c>
      <x:c r="D358" s="18" t="str">
        <x:v>Western Australia</x:v>
      </x:c>
      <x:c r="E358" s="80" t="n">
        <x:v>9</x:v>
      </x:c>
      <x:c r="F358" s="80" t="n">
        <x:v>262</x:v>
      </x:c>
      <x:c r="G358" s="81" t="n">
        <x:f>E358/F358</x:f>
        <x:v>0.03435114503816794</x:v>
      </x:c>
      <x:c r="H358" s="82" t="n">
        <x:v>124.41794364225812</x:v>
      </x:c>
      <x:c r="I358" s="82" t="n">
        <x:v>-32.01132874626315</x:v>
      </x:c>
      <x:c r="J358" s="83" t="n">
        <x:v>92886.3668</x:v>
      </x:c>
    </x:row>
    <x:row r="359">
      <x:c r="A359" s="78" t="n">
        <x:v>2021</x:v>
      </x:c>
      <x:c r="B359" s="79" t="str">
        <x:v>23940</x:v>
      </x:c>
      <x:c r="C359" s="18" t="str">
        <x:v>Loddon</x:v>
      </x:c>
      <x:c r="D359" s="18" t="str">
        <x:v>Victoria</x:v>
      </x:c>
      <x:c r="E359" s="80" t="n">
        <x:v>9</x:v>
      </x:c>
      <x:c r="F359" s="80" t="n">
        <x:v>3085</x:v>
      </x:c>
      <x:c r="G359" s="81" t="n">
        <x:f>E359/F359</x:f>
        <x:v>0.002917341977309562</x:v>
      </x:c>
      <x:c r="H359" s="82" t="n">
        <x:v>143.86714228571068</x:v>
      </x:c>
      <x:c r="I359" s="82" t="n">
        <x:v>-36.363905361202555</x:v>
      </x:c>
      <x:c r="J359" s="83" t="n">
        <x:v>6696.4447</x:v>
      </x:c>
    </x:row>
    <x:row r="360">
      <x:c r="A360" s="78" t="n">
        <x:v>2021</x:v>
      </x:c>
      <x:c r="B360" s="79" t="str">
        <x:v>55460</x:v>
      </x:c>
      <x:c r="C360" s="18" t="str">
        <x:v>Merredin</x:v>
      </x:c>
      <x:c r="D360" s="18" t="str">
        <x:v>Western Australia</x:v>
      </x:c>
      <x:c r="E360" s="80" t="n">
        <x:v>9</x:v>
      </x:c>
      <x:c r="F360" s="80" t="n">
        <x:v>1414</x:v>
      </x:c>
      <x:c r="G360" s="81" t="n">
        <x:f>E360/F360</x:f>
        <x:v>0.006364922206506365</x:v>
      </x:c>
      <x:c r="H360" s="82" t="n">
        <x:v>118.35934880350057</x:v>
      </x:c>
      <x:c r="I360" s="82" t="n">
        <x:v>-31.515327753095818</x:v>
      </x:c>
      <x:c r="J360" s="83" t="n">
        <x:v>3293.7824</x:v>
      </x:c>
    </x:row>
    <x:row r="361">
      <x:c r="A361" s="78" t="n">
        <x:v>2021</x:v>
      </x:c>
      <x:c r="B361" s="79" t="str">
        <x:v>15560</x:v>
      </x:c>
      <x:c r="C361" s="18" t="str">
        <x:v>Murrumbidgee</x:v>
      </x:c>
      <x:c r="D361" s="18" t="str">
        <x:v>New South Wales</x:v>
      </x:c>
      <x:c r="E361" s="80" t="n">
        <x:v>9</x:v>
      </x:c>
      <x:c r="F361" s="80" t="n">
        <x:v>1644</x:v>
      </x:c>
      <x:c r="G361" s="81" t="n">
        <x:f>E361/F361</x:f>
        <x:v>0.005474452554744526</x:v>
      </x:c>
      <x:c r="H361" s="82" t="n">
        <x:v>145.72936462225692</x:v>
      </x:c>
      <x:c r="I361" s="82" t="n">
        <x:v>-34.94973445166304</x:v>
      </x:c>
      <x:c r="J361" s="83" t="n">
        <x:v>6880.7902</x:v>
      </x:c>
    </x:row>
    <x:row r="362">
      <x:c r="A362" s="78" t="n">
        <x:v>2021</x:v>
      </x:c>
      <x:c r="B362" s="79" t="str">
        <x:v>15850</x:v>
      </x:c>
      <x:c r="C362" s="18" t="str">
        <x:v>Narromine</x:v>
      </x:c>
      <x:c r="D362" s="18" t="str">
        <x:v>New South Wales</x:v>
      </x:c>
      <x:c r="E362" s="80" t="n">
        <x:v>9</x:v>
      </x:c>
      <x:c r="F362" s="80" t="n">
        <x:v>2647</x:v>
      </x:c>
      <x:c r="G362" s="81" t="n">
        <x:f>E362/F362</x:f>
        <x:v>0.003400075557234605</x:v>
      </x:c>
      <x:c r="H362" s="82" t="n">
        <x:v>148.06555499488934</x:v>
      </x:c>
      <x:c r="I362" s="82" t="n">
        <x:v>-32.22608911954168</x:v>
      </x:c>
      <x:c r="J362" s="83" t="n">
        <x:v>5261.5165</x:v>
      </x:c>
    </x:row>
    <x:row r="363">
      <x:c r="A363" s="78" t="n">
        <x:v>2021</x:v>
      </x:c>
      <x:c r="B363" s="79" t="str">
        <x:v>73600</x:v>
      </x:c>
      <x:c r="C363" s="18" t="str">
        <x:v>Roper Gulf</x:v>
      </x:c>
      <x:c r="D363" s="18" t="str">
        <x:v>Northern Territory</x:v>
      </x:c>
      <x:c r="E363" s="80" t="n">
        <x:v>9</x:v>
      </x:c>
      <x:c r="F363" s="80" t="n">
        <x:v>1367</x:v>
      </x:c>
      <x:c r="G363" s="81" t="n">
        <x:f>E363/F363</x:f>
        <x:v>0.006583760058522311</x:v>
      </x:c>
      <x:c r="H363" s="82" t="n">
        <x:v>134.6511835265117</x:v>
      </x:c>
      <x:c r="I363" s="82" t="n">
        <x:v>-15.434865697549135</x:v>
      </x:c>
      <x:c r="J363" s="83" t="n">
        <x:v>185213.4546</x:v>
      </x:c>
    </x:row>
    <x:row r="364">
      <x:c r="A364" s="78" t="n">
        <x:v>2021</x:v>
      </x:c>
      <x:c r="B364" s="79" t="str">
        <x:v>64810</x:v>
      </x:c>
      <x:c r="C364" s="18" t="str">
        <x:v>Sorell</x:v>
      </x:c>
      <x:c r="D364" s="18" t="str">
        <x:v>Tasmania</x:v>
      </x:c>
      <x:c r="E364" s="80" t="n">
        <x:v>9</x:v>
      </x:c>
      <x:c r="F364" s="80" t="n">
        <x:v>7839</x:v>
      </x:c>
      <x:c r="G364" s="81" t="n">
        <x:f>E364/F364</x:f>
        <x:v>0.001148105625717566</x:v>
      </x:c>
      <x:c r="H364" s="82" t="n">
        <x:v>147.69614590597087</x:v>
      </x:c>
      <x:c r="I364" s="82" t="n">
        <x:v>-42.778679906036146</x:v>
      </x:c>
      <x:c r="J364" s="83" t="n">
        <x:v>583.7723</x:v>
      </x:c>
    </x:row>
    <x:row r="365">
      <x:c r="A365" s="78" t="n">
        <x:v>2021</x:v>
      </x:c>
      <x:c r="B365" s="79" t="str">
        <x:v>47490</x:v>
      </x:c>
      <x:c r="C365" s="18" t="str">
        <x:v>Streaky Bay</x:v>
      </x:c>
      <x:c r="D365" s="18" t="str">
        <x:v>South Australia</x:v>
      </x:c>
      <x:c r="E365" s="80" t="n">
        <x:v>9</x:v>
      </x:c>
      <x:c r="F365" s="80" t="n">
        <x:v>975</x:v>
      </x:c>
      <x:c r="G365" s="81" t="n">
        <x:f>E365/F365</x:f>
        <x:v>0.009230769230769232</x:v>
      </x:c>
      <x:c r="H365" s="82" t="n">
        <x:v>134.56402853243608</x:v>
      </x:c>
      <x:c r="I365" s="82" t="n">
        <x:v>-32.70891704200501</x:v>
      </x:c>
      <x:c r="J365" s="83" t="n">
        <x:v>6222.8591</x:v>
      </x:c>
    </x:row>
    <x:row r="366">
      <x:c r="A366" s="78" t="n">
        <x:v>2021</x:v>
      </x:c>
      <x:c r="B366" s="79" t="str">
        <x:v>30250</x:v>
      </x:c>
      <x:c r="C366" s="18" t="str">
        <x:v>Aurukun</x:v>
      </x:c>
      <x:c r="D366" s="18" t="str">
        <x:v>Queensland</x:v>
      </x:c>
      <x:c r="E366" s="80" t="n">
        <x:v>8</x:v>
      </x:c>
      <x:c r="F366" s="80" t="n">
        <x:v>152</x:v>
      </x:c>
      <x:c r="G366" s="81" t="n">
        <x:f>E366/F366</x:f>
        <x:v>0.05263157894736842</x:v>
      </x:c>
      <x:c r="H366" s="82" t="n">
        <x:v>141.82844658907146</x:v>
      </x:c>
      <x:c r="I366" s="82" t="n">
        <x:v>-13.609376947151064</x:v>
      </x:c>
      <x:c r="J366" s="83" t="n">
        <x:v>7423.9891</x:v>
      </x:c>
    </x:row>
    <x:row r="367">
      <x:c r="A367" s="78" t="n">
        <x:v>2021</x:v>
      </x:c>
      <x:c r="B367" s="79" t="str">
        <x:v>30300</x:v>
      </x:c>
      <x:c r="C367" s="18" t="str">
        <x:v>Balonne</x:v>
      </x:c>
      <x:c r="D367" s="18" t="str">
        <x:v>Queensland</x:v>
      </x:c>
      <x:c r="E367" s="80" t="n">
        <x:v>8</x:v>
      </x:c>
      <x:c r="F367" s="80" t="n">
        <x:v>2102</x:v>
      </x:c>
      <x:c r="G367" s="81" t="n">
        <x:f>E367/F367</x:f>
        <x:v>0.003805899143672693</x:v>
      </x:c>
      <x:c r="H367" s="82" t="n">
        <x:v>148.11614620557697</x:v>
      </x:c>
      <x:c r="I367" s="82" t="n">
        <x:v>-28.315919315847207</x:v>
      </x:c>
      <x:c r="J367" s="83" t="n">
        <x:v>31104.0851</x:v>
      </x:c>
    </x:row>
    <x:row r="368">
      <x:c r="A368" s="78" t="n">
        <x:v>2021</x:v>
      </x:c>
      <x:c r="B368" s="79" t="str">
        <x:v>30760</x:v>
      </x:c>
      <x:c r="C368" s="18" t="str">
        <x:v>Blackall Tambo</x:v>
      </x:c>
      <x:c r="D368" s="18" t="str">
        <x:v>Queensland</x:v>
      </x:c>
      <x:c r="E368" s="80" t="n">
        <x:v>8</x:v>
      </x:c>
      <x:c r="F368" s="80" t="n">
        <x:v>937</x:v>
      </x:c>
      <x:c r="G368" s="81" t="n">
        <x:f>E368/F368</x:f>
        <x:v>0.008537886872998933</x:v>
      </x:c>
      <x:c r="H368" s="82" t="n">
        <x:v>145.79125585280005</x:v>
      </x:c>
      <x:c r="I368" s="82" t="n">
        <x:v>-24.785630341789684</x:v>
      </x:c>
      <x:c r="J368" s="83" t="n">
        <x:v>30537.248</x:v>
      </x:c>
    </x:row>
    <x:row r="369">
      <x:c r="A369" s="78" t="n">
        <x:v>2021</x:v>
      </x:c>
      <x:c r="B369" s="79" t="str">
        <x:v>61210</x:v>
      </x:c>
      <x:c r="C369" s="18" t="str">
        <x:v>Circular Head</x:v>
      </x:c>
      <x:c r="D369" s="18" t="str">
        <x:v>Tasmania</x:v>
      </x:c>
      <x:c r="E369" s="80" t="n">
        <x:v>8</x:v>
      </x:c>
      <x:c r="F369" s="80" t="n">
        <x:v>3626</x:v>
      </x:c>
      <x:c r="G369" s="81" t="n">
        <x:f>E369/F369</x:f>
        <x:v>0.002206287920573635</x:v>
      </x:c>
      <x:c r="H369" s="82" t="n">
        <x:v>145.01465426999397</x:v>
      </x:c>
      <x:c r="I369" s="82" t="n">
        <x:v>-41.07894879303045</x:v>
      </x:c>
      <x:c r="J369" s="83" t="n">
        <x:v>4897.6511</x:v>
      </x:c>
    </x:row>
    <x:row r="370">
      <x:c r="A370" s="78" t="n">
        <x:v>2021</x:v>
      </x:c>
      <x:c r="B370" s="79" t="str">
        <x:v>51890</x:v>
      </x:c>
      <x:c r="C370" s="18" t="str">
        <x:v>Collie</x:v>
      </x:c>
      <x:c r="D370" s="18" t="str">
        <x:v>Western Australia</x:v>
      </x:c>
      <x:c r="E370" s="80" t="n">
        <x:v>8</x:v>
      </x:c>
      <x:c r="F370" s="80" t="n">
        <x:v>3420</x:v>
      </x:c>
      <x:c r="G370" s="81" t="n">
        <x:f>E370/F370</x:f>
        <x:v>0.0023391812865497076</x:v>
      </x:c>
      <x:c r="H370" s="82" t="n">
        <x:v>116.21156609175485</x:v>
      </x:c>
      <x:c r="I370" s="82" t="n">
        <x:v>-33.28355478489504</x:v>
      </x:c>
      <x:c r="J370" s="83" t="n">
        <x:v>1709.815</x:v>
      </x:c>
    </x:row>
    <x:row r="371">
      <x:c r="A371" s="78" t="n">
        <x:v>2021</x:v>
      </x:c>
      <x:c r="B371" s="79" t="str">
        <x:v>47800</x:v>
      </x:c>
      <x:c r="C371" s="18" t="str">
        <x:v>Coorong</x:v>
      </x:c>
      <x:c r="D371" s="18" t="str">
        <x:v>South Australia</x:v>
      </x:c>
      <x:c r="E371" s="80" t="n">
        <x:v>8</x:v>
      </x:c>
      <x:c r="F371" s="80" t="n">
        <x:v>2351</x:v>
      </x:c>
      <x:c r="G371" s="81" t="n">
        <x:f>E371/F371</x:f>
        <x:v>0.0034028073160357296</x:v>
      </x:c>
      <x:c r="H371" s="82" t="n">
        <x:v>139.7613115197674</x:v>
      </x:c>
      <x:c r="I371" s="82" t="n">
        <x:v>-35.71380821904315</x:v>
      </x:c>
      <x:c r="J371" s="83" t="n">
        <x:v>8833.4339</x:v>
      </x:c>
    </x:row>
    <x:row r="372">
      <x:c r="A372" s="78" t="n">
        <x:v>2021</x:v>
      </x:c>
      <x:c r="B372" s="79" t="str">
        <x:v>52870</x:v>
      </x:c>
      <x:c r="C372" s="18" t="str">
        <x:v>Donnybrook-Balingup</x:v>
      </x:c>
      <x:c r="D372" s="18" t="str">
        <x:v>Western Australia</x:v>
      </x:c>
      <x:c r="E372" s="80" t="n">
        <x:v>8</x:v>
      </x:c>
      <x:c r="F372" s="80" t="n">
        <x:v>2774</x:v>
      </x:c>
      <x:c r="G372" s="81" t="n">
        <x:f>E372/F372</x:f>
        <x:v>0.002883922134102379</x:v>
      </x:c>
      <x:c r="H372" s="82" t="n">
        <x:v>115.97353804651834</x:v>
      </x:c>
      <x:c r="I372" s="82" t="n">
        <x:v>-33.66955306739856</x:v>
      </x:c>
      <x:c r="J372" s="83" t="n">
        <x:v>1559.856</x:v>
      </x:c>
    </x:row>
    <x:row r="373">
      <x:c r="A373" s="78" t="n">
        <x:v>2021</x:v>
      </x:c>
      <x:c r="B373" s="79" t="str">
        <x:v>61810</x:v>
      </x:c>
      <x:c r="C373" s="18" t="str">
        <x:v>Dorset</x:v>
      </x:c>
      <x:c r="D373" s="18" t="str">
        <x:v>Tasmania</x:v>
      </x:c>
      <x:c r="E373" s="80" t="n">
        <x:v>8</x:v>
      </x:c>
      <x:c r="F373" s="80" t="n">
        <x:v>2874</x:v>
      </x:c>
      <x:c r="G373" s="81" t="n">
        <x:f>E373/F373</x:f>
        <x:v>0.0027835768963117608</x:v>
      </x:c>
      <x:c r="H373" s="82" t="n">
        <x:v>147.70851454509273</x:v>
      </x:c>
      <x:c r="I373" s="82" t="n">
        <x:v>-41.07212137423056</x:v>
      </x:c>
      <x:c r="J373" s="83" t="n">
        <x:v>3230.5456</x:v>
      </x:c>
    </x:row>
    <x:row r="374">
      <x:c r="A374" s="78" t="n">
        <x:v>2021</x:v>
      </x:c>
      <x:c r="B374" s="79" t="str">
        <x:v>14550</x:v>
      </x:c>
      <x:c r="C374" s="18" t="str">
        <x:v>Kyogle</x:v>
      </x:c>
      <x:c r="D374" s="18" t="str">
        <x:v>New South Wales</x:v>
      </x:c>
      <x:c r="E374" s="80" t="n">
        <x:v>8</x:v>
      </x:c>
      <x:c r="F374" s="80" t="n">
        <x:v>3518</x:v>
      </x:c>
      <x:c r="G374" s="81" t="n">
        <x:f>E374/F374</x:f>
        <x:v>0.0022740193291642978</x:v>
      </x:c>
      <x:c r="H374" s="82" t="n">
        <x:v>152.77557590421085</x:v>
      </x:c>
      <x:c r="I374" s="82" t="n">
        <x:v>-28.61779371075378</x:v>
      </x:c>
      <x:c r="J374" s="83" t="n">
        <x:v>3584.1829</x:v>
      </x:c>
    </x:row>
    <x:row r="375">
      <x:c r="A375" s="78" t="n">
        <x:v>2021</x:v>
      </x:c>
      <x:c r="B375" s="79" t="str">
        <x:v>54900</x:v>
      </x:c>
      <x:c r="C375" s="18" t="str">
        <x:v>Lake Grace</x:v>
      </x:c>
      <x:c r="D375" s="18" t="str">
        <x:v>Western Australia</x:v>
      </x:c>
      <x:c r="E375" s="80" t="n">
        <x:v>8</x:v>
      </x:c>
      <x:c r="F375" s="80" t="n">
        <x:v>744</x:v>
      </x:c>
      <x:c r="G375" s="81" t="n">
        <x:f>E375/F375</x:f>
        <x:v>0.010752688172043012</x:v>
      </x:c>
      <x:c r="H375" s="82" t="n">
        <x:v>119.28752843647193</x:v>
      </x:c>
      <x:c r="I375" s="82" t="n">
        <x:v>-33.05989715950267</x:v>
      </x:c>
      <x:c r="J375" s="83" t="n">
        <x:v>11886.3198</x:v>
      </x:c>
    </x:row>
    <x:row r="376">
      <x:c r="A376" s="78" t="n">
        <x:v>2021</x:v>
      </x:c>
      <x:c r="B376" s="79" t="str">
        <x:v>44210</x:v>
      </x:c>
      <x:c r="C376" s="18" t="str">
        <x:v>Mid Murray</x:v>
      </x:c>
      <x:c r="D376" s="18" t="str">
        <x:v>South Australia</x:v>
      </x:c>
      <x:c r="E376" s="80" t="n">
        <x:v>8</x:v>
      </x:c>
      <x:c r="F376" s="80" t="n">
        <x:v>3429</x:v>
      </x:c>
      <x:c r="G376" s="81" t="n">
        <x:f>E376/F376</x:f>
        <x:v>0.0023330417031204435</x:v>
      </x:c>
      <x:c r="H376" s="82" t="n">
        <x:v>139.4613869847502</x:v>
      </x:c>
      <x:c r="I376" s="82" t="n">
        <x:v>-34.45022079912786</x:v>
      </x:c>
      <x:c r="J376" s="83" t="n">
        <x:v>6271.6255</x:v>
      </x:c>
    </x:row>
    <x:row r="377">
      <x:c r="A377" s="78" t="n">
        <x:v>2021</x:v>
      </x:c>
      <x:c r="B377" s="79" t="str">
        <x:v>55600</x:v>
      </x:c>
      <x:c r="C377" s="18" t="str">
        <x:v>Moora</x:v>
      </x:c>
      <x:c r="D377" s="18" t="str">
        <x:v>Western Australia</x:v>
      </x:c>
      <x:c r="E377" s="80" t="n">
        <x:v>8</x:v>
      </x:c>
      <x:c r="F377" s="80" t="n">
        <x:v>1078</x:v>
      </x:c>
      <x:c r="G377" s="81" t="n">
        <x:f>E377/F377</x:f>
        <x:v>0.0074211502782931356</x:v>
      </x:c>
      <x:c r="H377" s="82" t="n">
        <x:v>116.18544377768873</x:v>
      </x:c>
      <x:c r="I377" s="82" t="n">
        <x:v>-30.498058190138796</x:v>
      </x:c>
      <x:c r="J377" s="83" t="n">
        <x:v>3763.0254</x:v>
      </x:c>
    </x:row>
    <x:row r="378">
      <x:c r="A378" s="78" t="n">
        <x:v>2021</x:v>
      </x:c>
      <x:c r="B378" s="79" t="str">
        <x:v>56930</x:v>
      </x:c>
      <x:c r="C378" s="18" t="str">
        <x:v>Peppermint Grove</x:v>
      </x:c>
      <x:c r="D378" s="18" t="str">
        <x:v>Western Australia</x:v>
      </x:c>
      <x:c r="E378" s="80" t="n">
        <x:v>8</x:v>
      </x:c>
      <x:c r="F378" s="80" t="n">
        <x:v>737</x:v>
      </x:c>
      <x:c r="G378" s="81" t="n">
        <x:f>E378/F378</x:f>
        <x:v>0.010854816824966078</x:v>
      </x:c>
      <x:c r="H378" s="82" t="n">
        <x:v>115.76714313929357</x:v>
      </x:c>
      <x:c r="I378" s="82" t="n">
        <x:v>-31.99933332173704</x:v>
      </x:c>
      <x:c r="J378" s="83" t="n">
        <x:v>1.0677</x:v>
      </x:c>
    </x:row>
    <x:row r="379">
      <x:c r="A379" s="78" t="n">
        <x:v>2021</x:v>
      </x:c>
      <x:c r="B379" s="79" t="str">
        <x:v>25990</x:v>
      </x:c>
      <x:c r="C379" s="18" t="str">
        <x:v>Pyrenees</x:v>
      </x:c>
      <x:c r="D379" s="18" t="str">
        <x:v>Victoria</x:v>
      </x:c>
      <x:c r="E379" s="80" t="n">
        <x:v>8</x:v>
      </x:c>
      <x:c r="F379" s="80" t="n">
        <x:v>3032</x:v>
      </x:c>
      <x:c r="G379" s="81" t="n">
        <x:f>E379/F379</x:f>
        <x:v>0.002638522427440633</x:v>
      </x:c>
      <x:c r="H379" s="82" t="n">
        <x:v>143.3750410811427</x:v>
      </x:c>
      <x:c r="I379" s="82" t="n">
        <x:v>-37.316457937037114</x:v>
      </x:c>
      <x:c r="J379" s="83" t="n">
        <x:v>3434.5687</x:v>
      </x:c>
    </x:row>
    <x:row r="380">
      <x:c r="A380" s="78" t="n">
        <x:v>2021</x:v>
      </x:c>
      <x:c r="B380" s="79" t="str">
        <x:v>36960</x:v>
      </x:c>
      <x:c r="C380" s="18" t="str">
        <x:v>Torres Strait Island</x:v>
      </x:c>
      <x:c r="D380" s="18" t="str">
        <x:v>Queensland</x:v>
      </x:c>
      <x:c r="E380" s="80" t="n">
        <x:v>8</x:v>
      </x:c>
      <x:c r="F380" s="80" t="n">
        <x:v>1015</x:v>
      </x:c>
      <x:c r="G380" s="81" t="n">
        <x:f>E380/F380</x:f>
        <x:v>0.007881773399014778</x:v>
      </x:c>
      <x:c r="H380" s="82" t="n">
        <x:v>142.36559608285398</x:v>
      </x:c>
      <x:c r="I380" s="82" t="n">
        <x:v>-9.859113940086498</x:v>
      </x:c>
      <x:c r="J380" s="83" t="n">
        <x:v>490.0453</x:v>
      </x:c>
    </x:row>
    <x:row r="381">
      <x:c r="A381" s="78" t="n">
        <x:v>2021</x:v>
      </x:c>
      <x:c r="B381" s="79" t="str">
        <x:v>18020</x:v>
      </x:c>
      <x:c r="C381" s="18" t="str">
        <x:v>Warrumbungle Shire</x:v>
      </x:c>
      <x:c r="D381" s="18" t="str">
        <x:v>New South Wales</x:v>
      </x:c>
      <x:c r="E381" s="80" t="n">
        <x:v>8</x:v>
      </x:c>
      <x:c r="F381" s="80" t="n">
        <x:v>3401</x:v>
      </x:c>
      <x:c r="G381" s="81" t="n">
        <x:f>E381/F381</x:f>
        <x:v>0.0023522493384298734</x:v>
      </x:c>
      <x:c r="H381" s="82" t="n">
        <x:v>149.4053925314061</x:v>
      </x:c>
      <x:c r="I381" s="82" t="n">
        <x:v>-31.462806811547136</x:v>
      </x:c>
      <x:c r="J381" s="83" t="n">
        <x:v>12372.12</x:v>
      </x:c>
    </x:row>
    <x:row r="382">
      <x:c r="A382" s="78" t="n">
        <x:v>2021</x:v>
      </x:c>
      <x:c r="B382" s="79" t="str">
        <x:v>18100</x:v>
      </x:c>
      <x:c r="C382" s="18" t="str">
        <x:v>Weddin</x:v>
      </x:c>
      <x:c r="D382" s="18" t="str">
        <x:v>New South Wales</x:v>
      </x:c>
      <x:c r="E382" s="80" t="n">
        <x:v>8</x:v>
      </x:c>
      <x:c r="F382" s="80" t="n">
        <x:v>1487</x:v>
      </x:c>
      <x:c r="G382" s="81" t="n">
        <x:f>E382/F382</x:f>
        <x:v>0.005379959650302623</x:v>
      </x:c>
      <x:c r="H382" s="82" t="n">
        <x:v>148.01124330614</x:v>
      </x:c>
      <x:c r="I382" s="82" t="n">
        <x:v>-33.87191332070436</x:v>
      </x:c>
      <x:c r="J382" s="83" t="n">
        <x:v>3414.8566</x:v>
      </x:c>
    </x:row>
    <x:row r="383">
      <x:c r="A383" s="78" t="n">
        <x:v>2021</x:v>
      </x:c>
      <x:c r="B383" s="79" t="str">
        <x:v>10850</x:v>
      </x:c>
      <x:c r="C383" s="18" t="str">
        <x:v>Blayney</x:v>
      </x:c>
      <x:c r="D383" s="18" t="str">
        <x:v>New South Wales</x:v>
      </x:c>
      <x:c r="E383" s="80" t="n">
        <x:v>7</x:v>
      </x:c>
      <x:c r="F383" s="80" t="n">
        <x:v>3503</x:v>
      </x:c>
      <x:c r="G383" s="81" t="n">
        <x:f>E383/F383</x:f>
        <x:v>0.0019982871824150727</x:v>
      </x:c>
      <x:c r="H383" s="82" t="n">
        <x:v>149.14205881251425</x:v>
      </x:c>
      <x:c r="I383" s="82" t="n">
        <x:v>-33.59433038419906</x:v>
      </x:c>
      <x:c r="J383" s="83" t="n">
        <x:v>1524.647</x:v>
      </x:c>
    </x:row>
    <x:row r="384">
      <x:c r="A384" s="78" t="n">
        <x:v>2021</x:v>
      </x:c>
      <x:c r="B384" s="79" t="str">
        <x:v>51470</x:v>
      </x:c>
      <x:c r="C384" s="18" t="str">
        <x:v>Carnamah</x:v>
      </x:c>
      <x:c r="D384" s="18" t="str">
        <x:v>Western Australia</x:v>
      </x:c>
      <x:c r="E384" s="80" t="n">
        <x:v>7</x:v>
      </x:c>
      <x:c r="F384" s="80" t="n">
        <x:v>252</x:v>
      </x:c>
      <x:c r="G384" s="81" t="n">
        <x:f>E384/F384</x:f>
        <x:v>0.027777777777777776</x:v>
      </x:c>
      <x:c r="H384" s="82" t="n">
        <x:v>115.57783093733498</x:v>
      </x:c>
      <x:c r="I384" s="82" t="n">
        <x:v>-29.773223267664783</x:v>
      </x:c>
      <x:c r="J384" s="83" t="n">
        <x:v>2870.9316</x:v>
      </x:c>
    </x:row>
    <x:row r="385">
      <x:c r="A385" s="78" t="n">
        <x:v>2021</x:v>
      </x:c>
      <x:c r="B385" s="79" t="str">
        <x:v>52520</x:v>
      </x:c>
      <x:c r="C385" s="18" t="str">
        <x:v>Dalwallinu</x:v>
      </x:c>
      <x:c r="D385" s="18" t="str">
        <x:v>Western Australia</x:v>
      </x:c>
      <x:c r="E385" s="80" t="n">
        <x:v>7</x:v>
      </x:c>
      <x:c r="F385" s="80" t="n">
        <x:v>671</x:v>
      </x:c>
      <x:c r="G385" s="81" t="n">
        <x:f>E385/F385</x:f>
        <x:v>0.010432190760059613</x:v>
      </x:c>
      <x:c r="H385" s="82" t="n">
        <x:v>116.94475432441615</x:v>
      </x:c>
      <x:c r="I385" s="82" t="n">
        <x:v>-30.125246787593596</x:v>
      </x:c>
      <x:c r="J385" s="83" t="n">
        <x:v>7224.3566</x:v>
      </x:c>
    </x:row>
    <x:row r="386">
      <x:c r="A386" s="78" t="n">
        <x:v>2021</x:v>
      </x:c>
      <x:c r="B386" s="79" t="str">
        <x:v>12950</x:v>
      </x:c>
      <x:c r="C386" s="18" t="str">
        <x:v>Gilgandra</x:v>
      </x:c>
      <x:c r="D386" s="18" t="str">
        <x:v>New South Wales</x:v>
      </x:c>
      <x:c r="E386" s="80" t="n">
        <x:v>7</x:v>
      </x:c>
      <x:c r="F386" s="80" t="n">
        <x:v>1792</x:v>
      </x:c>
      <x:c r="G386" s="81" t="n">
        <x:f>E386/F386</x:f>
        <x:v>0.00390625</x:v>
      </x:c>
      <x:c r="H386" s="82" t="n">
        <x:v>148.69073396890775</x:v>
      </x:c>
      <x:c r="I386" s="82" t="n">
        <x:v>-31.61902662247439</x:v>
      </x:c>
      <x:c r="J386" s="83" t="n">
        <x:v>4831.5057</x:v>
      </x:c>
    </x:row>
    <x:row r="387">
      <x:c r="A387" s="78" t="n">
        <x:v>2021</x:v>
      </x:c>
      <x:c r="B387" s="79" t="str">
        <x:v>63810</x:v>
      </x:c>
      <x:c r="C387" s="18" t="str">
        <x:v>Latrobe (Tas.)</x:v>
      </x:c>
      <x:c r="D387" s="18" t="str">
        <x:v>Tasmania</x:v>
      </x:c>
      <x:c r="E387" s="80" t="n">
        <x:v>7</x:v>
      </x:c>
      <x:c r="F387" s="80" t="n">
        <x:v>5479</x:v>
      </x:c>
      <x:c r="G387" s="81" t="n">
        <x:f>E387/F387</x:f>
        <x:v>0.0012776054024457018</x:v>
      </x:c>
      <x:c r="H387" s="82" t="n">
        <x:v>146.5600215229047</x:v>
      </x:c>
      <x:c r="I387" s="82" t="n">
        <x:v>-41.243983156946186</x:v>
      </x:c>
      <x:c r="J387" s="83" t="n">
        <x:v>600.4619</x:v>
      </x:c>
    </x:row>
    <x:row r="388">
      <x:c r="A388" s="78" t="n">
        <x:v>2021</x:v>
      </x:c>
      <x:c r="B388" s="79" t="str">
        <x:v>55950</x:v>
      </x:c>
      <x:c r="C388" s="18" t="str">
        <x:v>Mukinbudin</x:v>
      </x:c>
      <x:c r="D388" s="18" t="str">
        <x:v>Western Australia</x:v>
      </x:c>
      <x:c r="E388" s="80" t="n">
        <x:v>7</x:v>
      </x:c>
      <x:c r="F388" s="80" t="n">
        <x:v>270</x:v>
      </x:c>
      <x:c r="G388" s="81" t="n">
        <x:f>E388/F388</x:f>
        <x:v>0.025925925925925925</x:v>
      </x:c>
      <x:c r="H388" s="82" t="n">
        <x:v>118.31113578650144</x:v>
      </x:c>
      <x:c r="I388" s="82" t="n">
        <x:v>-30.62995353794541</x:v>
      </x:c>
      <x:c r="J388" s="83" t="n">
        <x:v>3426.944</x:v>
      </x:c>
    </x:row>
    <x:row r="389">
      <x:c r="A389" s="78" t="n">
        <x:v>2021</x:v>
      </x:c>
      <x:c r="B389" s="79" t="str">
        <x:v>99399</x:v>
      </x:c>
      <x:c r="C389" s="18" t="str">
        <x:v>Unincorp. Other Territories</x:v>
      </x:c>
      <x:c r="D389" s="18" t="str">
        <x:v>Other Territories</x:v>
      </x:c>
      <x:c r="E389" s="80" t="n">
        <x:v>7</x:v>
      </x:c>
      <x:c r="F389" s="80" t="n">
        <x:v>1231</x:v>
      </x:c>
      <x:c r="G389" s="81" t="n">
        <x:f>E389/F389</x:f>
        <x:v>0.005686433793663688</x:v>
      </x:c>
      <x:c r="H389" s="82" t="n">
        <x:v>156.73170092375727</x:v>
      </x:c>
      <x:c r="I389" s="82" t="n">
        <x:v>-33.01265226494884</x:v>
      </x:c>
      <x:c r="J389" s="83" t="n">
        <x:v>105.8806</x:v>
      </x:c>
    </x:row>
    <x:row r="390">
      <x:c r="A390" s="78" t="n">
        <x:v>2021</x:v>
      </x:c>
      <x:c r="B390" s="79" t="str">
        <x:v>65410</x:v>
      </x:c>
      <x:c r="C390" s="18" t="str">
        <x:v>Waratah-Wynyard</x:v>
      </x:c>
      <x:c r="D390" s="18" t="str">
        <x:v>Tasmania</x:v>
      </x:c>
      <x:c r="E390" s="80" t="n">
        <x:v>7</x:v>
      </x:c>
      <x:c r="F390" s="80" t="n">
        <x:v>5836</x:v>
      </x:c>
      <x:c r="G390" s="81" t="n">
        <x:f>E390/F390</x:f>
        <x:v>0.001199451679232351</x:v>
      </x:c>
      <x:c r="H390" s="82" t="n">
        <x:v>145.4953807371692</x:v>
      </x:c>
      <x:c r="I390" s="82" t="n">
        <x:v>-41.383241552389336</x:v>
      </x:c>
      <x:c r="J390" s="83" t="n">
        <x:v>3535.9075</x:v>
      </x:c>
    </x:row>
    <x:row r="391">
      <x:c r="A391" s="78" t="n">
        <x:v>2021</x:v>
      </x:c>
      <x:c r="B391" s="79" t="str">
        <x:v>37400</x:v>
      </x:c>
      <x:c r="C391" s="18" t="str">
        <x:v>Winton</x:v>
      </x:c>
      <x:c r="D391" s="18" t="str">
        <x:v>Queensland</x:v>
      </x:c>
      <x:c r="E391" s="80" t="n">
        <x:v>7</x:v>
      </x:c>
      <x:c r="F391" s="80" t="n">
        <x:v>559</x:v>
      </x:c>
      <x:c r="G391" s="81" t="n">
        <x:f>E391/F391</x:f>
        <x:v>0.012522361359570662</x:v>
      </x:c>
      <x:c r="H391" s="82" t="n">
        <x:v>142.42449784016924</x:v>
      </x:c>
      <x:c r="I391" s="82" t="n">
        <x:v>-22.539144757157736</x:v>
      </x:c>
      <x:c r="J391" s="83" t="n">
        <x:v>53813.4826</x:v>
      </x:c>
    </x:row>
    <x:row r="392">
      <x:c r="A392" s="78" t="n">
        <x:v>2021</x:v>
      </x:c>
      <x:c r="B392" s="79" t="str">
        <x:v>41010</x:v>
      </x:c>
      <x:c r="C392" s="18" t="str">
        <x:v>Ceduna</x:v>
      </x:c>
      <x:c r="D392" s="18" t="str">
        <x:v>South Australia</x:v>
      </x:c>
      <x:c r="E392" s="80" t="n">
        <x:v>6</x:v>
      </x:c>
      <x:c r="F392" s="80" t="n">
        <x:v>1586</x:v>
      </x:c>
      <x:c r="G392" s="81" t="n">
        <x:f>E392/F392</x:f>
        <x:v>0.0037831021437578815</x:v>
      </x:c>
      <x:c r="H392" s="82" t="n">
        <x:v>133.87242030234916</x:v>
      </x:c>
      <x:c r="I392" s="82" t="n">
        <x:v>-32.1021117021856</x:v>
      </x:c>
      <x:c r="J392" s="83" t="n">
        <x:v>5420.3435</x:v>
      </x:c>
    </x:row>
    <x:row r="393">
      <x:c r="A393" s="78" t="n">
        <x:v>2021</x:v>
      </x:c>
      <x:c r="B393" s="79" t="str">
        <x:v>61510</x:v>
      </x:c>
      <x:c r="C393" s="18" t="str">
        <x:v>Derwent Valley</x:v>
      </x:c>
      <x:c r="D393" s="18" t="str">
        <x:v>Tasmania</x:v>
      </x:c>
      <x:c r="E393" s="80" t="n">
        <x:v>6</x:v>
      </x:c>
      <x:c r="F393" s="80" t="n">
        <x:v>4622</x:v>
      </x:c>
      <x:c r="G393" s="81" t="n">
        <x:f>E393/F393</x:f>
        <x:v>0.0012981393336218088</x:v>
      </x:c>
      <x:c r="H393" s="82" t="n">
        <x:v>146.4213567458633</x:v>
      </x:c>
      <x:c r="I393" s="82" t="n">
        <x:v>-42.812969696294545</x:v>
      </x:c>
      <x:c r="J393" s="83" t="n">
        <x:v>4108.1113</x:v>
      </x:c>
    </x:row>
    <x:row r="394">
      <x:c r="A394" s="78" t="n">
        <x:v>2021</x:v>
      </x:c>
      <x:c r="B394" s="79" t="str">
        <x:v>14600</x:v>
      </x:c>
      <x:c r="C394" s="18" t="str">
        <x:v>Lachlan</x:v>
      </x:c>
      <x:c r="D394" s="18" t="str">
        <x:v>New South Wales</x:v>
      </x:c>
      <x:c r="E394" s="80" t="n">
        <x:v>6</x:v>
      </x:c>
      <x:c r="F394" s="80" t="n">
        <x:v>2526</x:v>
      </x:c>
      <x:c r="G394" s="81" t="n">
        <x:f>E394/F394</x:f>
        <x:v>0.0023752969121140144</x:v>
      </x:c>
      <x:c r="H394" s="82" t="n">
        <x:v>146.98970789548048</x:v>
      </x:c>
      <x:c r="I394" s="82" t="n">
        <x:v>-32.92010840333685</x:v>
      </x:c>
      <x:c r="J394" s="83" t="n">
        <x:v>14968.2539</x:v>
      </x:c>
    </x:row>
    <x:row r="395">
      <x:c r="A395" s="78" t="n">
        <x:v>2021</x:v>
      </x:c>
      <x:c r="B395" s="79" t="str">
        <x:v>17640</x:v>
      </x:c>
      <x:c r="C395" s="18" t="str">
        <x:v>Upper Lachlan Shire</x:v>
      </x:c>
      <x:c r="D395" s="18" t="str">
        <x:v>New South Wales</x:v>
      </x:c>
      <x:c r="E395" s="80" t="n">
        <x:v>6</x:v>
      </x:c>
      <x:c r="F395" s="80" t="n">
        <x:v>3997</x:v>
      </x:c>
      <x:c r="G395" s="81" t="n">
        <x:f>E395/F395</x:f>
        <x:v>0.0015011258443832875</x:v>
      </x:c>
      <x:c r="H395" s="82" t="n">
        <x:v>149.45566952612833</x:v>
      </x:c>
      <x:c r="I395" s="82" t="n">
        <x:v>-34.41772232815872</x:v>
      </x:c>
      <x:c r="J395" s="83" t="n">
        <x:v>7127.3957</x:v>
      </x:c>
    </x:row>
    <x:row r="396">
      <x:c r="A396" s="78" t="n">
        <x:v>2021</x:v>
      </x:c>
      <x:c r="B396" s="79" t="str">
        <x:v>59170</x:v>
      </x:c>
      <x:c r="C396" s="18" t="str">
        <x:v>Williams</x:v>
      </x:c>
      <x:c r="D396" s="18" t="str">
        <x:v>Western Australia</x:v>
      </x:c>
      <x:c r="E396" s="80" t="n">
        <x:v>6</x:v>
      </x:c>
      <x:c r="F396" s="80" t="n">
        <x:v>537</x:v>
      </x:c>
      <x:c r="G396" s="81" t="n">
        <x:f>E396/F396</x:f>
        <x:v>0.0111731843575419</x:v>
      </x:c>
      <x:c r="H396" s="82" t="n">
        <x:v>116.72808922487266</x:v>
      </x:c>
      <x:c r="I396" s="82" t="n">
        <x:v>-33.071427073998876</x:v>
      </x:c>
      <x:c r="J396" s="83" t="n">
        <x:v>2304.7119</x:v>
      </x:c>
    </x:row>
    <x:row r="397">
      <x:c r="A397" s="78" t="n">
        <x:v>2021</x:v>
      </x:c>
      <x:c r="B397" s="79" t="str">
        <x:v>48640</x:v>
      </x:c>
      <x:c r="C397" s="18" t="str">
        <x:v>Wudinna</x:v>
      </x:c>
      <x:c r="D397" s="18" t="str">
        <x:v>South Australia</x:v>
      </x:c>
      <x:c r="E397" s="80" t="n">
        <x:v>6</x:v>
      </x:c>
      <x:c r="F397" s="80" t="n">
        <x:v>565</x:v>
      </x:c>
      <x:c r="G397" s="81" t="n">
        <x:f>E397/F397</x:f>
        <x:v>0.010619469026548672</x:v>
      </x:c>
      <x:c r="H397" s="82" t="n">
        <x:v>135.31463839196556</x:v>
      </x:c>
      <x:c r="I397" s="82" t="n">
        <x:v>-33.02866409038537</x:v>
      </x:c>
      <x:c r="J397" s="83" t="n">
        <x:v>5075.2783</x:v>
      </x:c>
    </x:row>
    <x:row r="398">
      <x:c r="A398" s="78" t="n">
        <x:v>2021</x:v>
      </x:c>
      <x:c r="B398" s="79" t="str">
        <x:v>40430</x:v>
      </x:c>
      <x:c r="C398" s="18" t="str">
        <x:v>Barunga West</x:v>
      </x:c>
      <x:c r="D398" s="18" t="str">
        <x:v>South Australia</x:v>
      </x:c>
      <x:c r="E398" s="80" t="n">
        <x:v>5</x:v>
      </x:c>
      <x:c r="F398" s="80" t="n">
        <x:v>913</x:v>
      </x:c>
      <x:c r="G398" s="81" t="n">
        <x:f>E398/F398</x:f>
        <x:v>0.00547645125958379</x:v>
      </x:c>
      <x:c r="H398" s="82" t="n">
        <x:v>137.95633663803923</x:v>
      </x:c>
      <x:c r="I398" s="82" t="n">
        <x:v>-33.798967078033</x:v>
      </x:c>
      <x:c r="J398" s="83" t="n">
        <x:v>1590.3887</x:v>
      </x:c>
    </x:row>
    <x:row r="399">
      <x:c r="A399" s="78" t="n">
        <x:v>2021</x:v>
      </x:c>
      <x:c r="B399" s="79" t="str">
        <x:v>11400</x:v>
      </x:c>
      <x:c r="C399" s="18" t="str">
        <x:v>Cabonne</x:v>
      </x:c>
      <x:c r="D399" s="18" t="str">
        <x:v>New South Wales</x:v>
      </x:c>
      <x:c r="E399" s="80" t="n">
        <x:v>5</x:v>
      </x:c>
      <x:c r="F399" s="80" t="n">
        <x:v>6525</x:v>
      </x:c>
      <x:c r="G399" s="81" t="n">
        <x:f>E399/F399</x:f>
        <x:v>0.0007662835249042146</x:v>
      </x:c>
      <x:c r="H399" s="82" t="n">
        <x:v>148.7541009984669</x:v>
      </x:c>
      <x:c r="I399" s="82" t="n">
        <x:v>-33.15299771365778</x:v>
      </x:c>
      <x:c r="J399" s="83" t="n">
        <x:v>6022.3496</x:v>
      </x:c>
    </x:row>
    <x:row r="400">
      <x:c r="A400" s="78" t="n">
        <x:v>2021</x:v>
      </x:c>
      <x:c r="B400" s="79" t="str">
        <x:v>32600</x:v>
      </x:c>
      <x:c r="C400" s="18" t="str">
        <x:v>Croydon</x:v>
      </x:c>
      <x:c r="D400" s="18" t="str">
        <x:v>Queensland</x:v>
      </x:c>
      <x:c r="E400" s="80" t="n">
        <x:v>5</x:v>
      </x:c>
      <x:c r="F400" s="80" t="n">
        <x:v>129</x:v>
      </x:c>
      <x:c r="G400" s="81" t="n">
        <x:f>E400/F400</x:f>
        <x:v>0.03875968992248062</x:v>
      </x:c>
      <x:c r="H400" s="82" t="n">
        <x:v>142.2168011471037</x:v>
      </x:c>
      <x:c r="I400" s="82" t="n">
        <x:v>-18.55409958922929</x:v>
      </x:c>
      <x:c r="J400" s="83" t="n">
        <x:v>29497.9025</x:v>
      </x:c>
    </x:row>
    <x:row r="401">
      <x:c r="A401" s="78" t="n">
        <x:v>2021</x:v>
      </x:c>
      <x:c r="B401" s="79" t="str">
        <x:v>13660</x:v>
      </x:c>
      <x:c r="C401" s="18" t="str">
        <x:v>Gwydir</x:v>
      </x:c>
      <x:c r="D401" s="18" t="str">
        <x:v>New South Wales</x:v>
      </x:c>
      <x:c r="E401" s="80" t="n">
        <x:v>5</x:v>
      </x:c>
      <x:c r="F401" s="80" t="n">
        <x:v>1952</x:v>
      </x:c>
      <x:c r="G401" s="81" t="n">
        <x:f>E401/F401</x:f>
        <x:v>0.0025614754098360654</x:v>
      </x:c>
      <x:c r="H401" s="82" t="n">
        <x:v>150.5168094678773</x:v>
      </x:c>
      <x:c r="I401" s="82" t="n">
        <x:v>-29.593481052281273</x:v>
      </x:c>
      <x:c r="J401" s="83" t="n">
        <x:v>9259.6544</x:v>
      </x:c>
    </x:row>
    <x:row r="402">
      <x:c r="A402" s="78" t="n">
        <x:v>2021</x:v>
      </x:c>
      <x:c r="B402" s="79" t="str">
        <x:v>14920</x:v>
      </x:c>
      <x:c r="C402" s="18" t="str">
        <x:v>Liverpool Plains</x:v>
      </x:c>
      <x:c r="D402" s="18" t="str">
        <x:v>New South Wales</x:v>
      </x:c>
      <x:c r="E402" s="80" t="n">
        <x:v>5</x:v>
      </x:c>
      <x:c r="F402" s="80" t="n">
        <x:v>3044</x:v>
      </x:c>
      <x:c r="G402" s="81" t="n">
        <x:f>E402/F402</x:f>
        <x:v>0.0016425755584756898</x:v>
      </x:c>
      <x:c r="H402" s="82" t="n">
        <x:v>150.43841618643725</x:v>
      </x:c>
      <x:c r="I402" s="82" t="n">
        <x:v>-31.550619795054498</x:v>
      </x:c>
      <x:c r="J402" s="83" t="n">
        <x:v>5082.2398</x:v>
      </x:c>
    </x:row>
    <x:row r="403">
      <x:c r="A403" s="78" t="n">
        <x:v>2021</x:v>
      </x:c>
      <x:c r="B403" s="79" t="str">
        <x:v>46970</x:v>
      </x:c>
      <x:c r="C403" s="18" t="str">
        <x:v>Roxby Downs</x:v>
      </x:c>
      <x:c r="D403" s="18" t="str">
        <x:v>South Australia</x:v>
      </x:c>
      <x:c r="E403" s="80" t="n">
        <x:v>5</x:v>
      </x:c>
      <x:c r="F403" s="80" t="n">
        <x:v>2254</x:v>
      </x:c>
      <x:c r="G403" s="81" t="n">
        <x:f>E403/F403</x:f>
        <x:v>0.0022182786157941437</x:v>
      </x:c>
      <x:c r="H403" s="82" t="n">
        <x:v>136.88117865297215</x:v>
      </x:c>
      <x:c r="I403" s="82" t="n">
        <x:v>-30.554385823869605</x:v>
      </x:c>
      <x:c r="J403" s="83" t="n">
        <x:v>110.4778</x:v>
      </x:c>
    </x:row>
    <x:row r="404">
      <x:c r="A404" s="78" t="n">
        <x:v>2021</x:v>
      </x:c>
      <x:c r="B404" s="79" t="str">
        <x:v>65210</x:v>
      </x:c>
      <x:c r="C404" s="18" t="str">
        <x:v>Tasman</x:v>
      </x:c>
      <x:c r="D404" s="18" t="str">
        <x:v>Tasmania</x:v>
      </x:c>
      <x:c r="E404" s="80" t="n">
        <x:v>5</x:v>
      </x:c>
      <x:c r="F404" s="80" t="n">
        <x:v>939</x:v>
      </x:c>
      <x:c r="G404" s="81" t="n">
        <x:f>E404/F404</x:f>
        <x:v>0.005324813631522897</x:v>
      </x:c>
      <x:c r="H404" s="82" t="n">
        <x:v>147.83465247801092</x:v>
      </x:c>
      <x:c r="I404" s="82" t="n">
        <x:v>-43.0546870383295</x:v>
      </x:c>
      <x:c r="J404" s="83" t="n">
        <x:v>660.3947</x:v>
      </x:c>
    </x:row>
    <x:row r="405">
      <x:c r="A405" s="78" t="n">
        <x:v>2021</x:v>
      </x:c>
      <x:c r="B405" s="79" t="str">
        <x:v>17650</x:v>
      </x:c>
      <x:c r="C405" s="18" t="str">
        <x:v>Uralla</x:v>
      </x:c>
      <x:c r="D405" s="18" t="str">
        <x:v>New South Wales</x:v>
      </x:c>
      <x:c r="E405" s="80" t="n">
        <x:v>5</x:v>
      </x:c>
      <x:c r="F405" s="80" t="n">
        <x:v>2688</x:v>
      </x:c>
      <x:c r="G405" s="81" t="n">
        <x:f>E405/F405</x:f>
        <x:v>0.0018601190476190475</x:v>
      </x:c>
      <x:c r="H405" s="82" t="n">
        <x:v>151.3123291730022</x:v>
      </x:c>
      <x:c r="I405" s="82" t="n">
        <x:v>-30.50767559467119</x:v>
      </x:c>
      <x:c r="J405" s="83" t="n">
        <x:v>3226.5327</x:v>
      </x:c>
    </x:row>
    <x:row r="406">
      <x:c r="A406" s="78" t="n">
        <x:v>2021</x:v>
      </x:c>
      <x:c r="B406" s="79" t="str">
        <x:v>74560</x:v>
      </x:c>
      <x:c r="C406" s="18" t="str">
        <x:v>Wagait</x:v>
      </x:c>
      <x:c r="D406" s="18" t="str">
        <x:v>Northern Territory</x:v>
      </x:c>
      <x:c r="E406" s="80" t="n">
        <x:v>5</x:v>
      </x:c>
      <x:c r="F406" s="80" t="n">
        <x:v>186</x:v>
      </x:c>
      <x:c r="G406" s="81" t="n">
        <x:f>E406/F406</x:f>
        <x:v>0.026881720430107527</x:v>
      </x:c>
      <x:c r="H406" s="82" t="n">
        <x:v>130.74978007579534</x:v>
      </x:c>
      <x:c r="I406" s="82" t="n">
        <x:v>-12.441250795523487</x:v>
      </x:c>
      <x:c r="J406" s="83" t="n">
        <x:v>5.6628</x:v>
      </x:c>
    </x:row>
    <x:row r="407">
      <x:c r="A407" s="78" t="n">
        <x:v>2021</x:v>
      </x:c>
      <x:c r="B407" s="79" t="str">
        <x:v>48750</x:v>
      </x:c>
      <x:c r="C407" s="18" t="str">
        <x:v>Yankalilla</x:v>
      </x:c>
      <x:c r="D407" s="18" t="str">
        <x:v>South Australia</x:v>
      </x:c>
      <x:c r="E407" s="80" t="n">
        <x:v>5</x:v>
      </x:c>
      <x:c r="F407" s="80" t="n">
        <x:v>2291</x:v>
      </x:c>
      <x:c r="G407" s="81" t="n">
        <x:f>E407/F407</x:f>
        <x:v>0.002182453077258839</x:v>
      </x:c>
      <x:c r="H407" s="82" t="n">
        <x:v>138.33709317119636</x:v>
      </x:c>
      <x:c r="I407" s="82" t="n">
        <x:v>-35.518592268416555</x:v>
      </x:c>
      <x:c r="J407" s="83" t="n">
        <x:v>751.2577</x:v>
      </x:c>
    </x:row>
    <x:row r="408">
      <x:c r="A408" s="78" t="n">
        <x:v>2021</x:v>
      </x:c>
      <x:c r="B408" s="79" t="str">
        <x:v>40150</x:v>
      </x:c>
      <x:c r="C408" s="18" t="str">
        <x:v>Adelaide Plains</x:v>
      </x:c>
      <x:c r="D408" s="18" t="str">
        <x:v>South Australia</x:v>
      </x:c>
      <x:c r="E408" s="80" t="n">
        <x:v>4</x:v>
      </x:c>
      <x:c r="F408" s="80" t="n">
        <x:v>4851</x:v>
      </x:c>
      <x:c r="G408" s="81" t="n">
        <x:f>E408/F408</x:f>
        <x:v>0.0008245722531436817</x:v>
      </x:c>
      <x:c r="H408" s="82" t="n">
        <x:v>138.45467702191294</x:v>
      </x:c>
      <x:c r="I408" s="82" t="n">
        <x:v>-34.480622079894076</x:v>
      </x:c>
      <x:c r="J408" s="83" t="n">
        <x:v>932.4913</x:v>
      </x:c>
    </x:row>
    <x:row r="409">
      <x:c r="A409" s="78" t="n">
        <x:v>2021</x:v>
      </x:c>
      <x:c r="B409" s="79" t="str">
        <x:v>10300</x:v>
      </x:c>
      <x:c r="C409" s="18" t="str">
        <x:v>Balranald</x:v>
      </x:c>
      <x:c r="D409" s="18" t="str">
        <x:v>New South Wales</x:v>
      </x:c>
      <x:c r="E409" s="80" t="n">
        <x:v>4</x:v>
      </x:c>
      <x:c r="F409" s="80" t="n">
        <x:v>973</x:v>
      </x:c>
      <x:c r="G409" s="81" t="n">
        <x:f>E409/F409</x:f>
        <x:v>0.0041109969167523125</x:v>
      </x:c>
      <x:c r="H409" s="82" t="n">
        <x:v>143.61161741777713</x:v>
      </x:c>
      <x:c r="I409" s="82" t="n">
        <x:v>-33.950352943403374</x:v>
      </x:c>
      <x:c r="J409" s="83" t="n">
        <x:v>21690.7493</x:v>
      </x:c>
    </x:row>
    <x:row r="410">
      <x:c r="A410" s="78" t="n">
        <x:v>2021</x:v>
      </x:c>
      <x:c r="B410" s="79" t="str">
        <x:v>50630</x:v>
      </x:c>
      <x:c r="C410" s="18" t="str">
        <x:v>Boddington</x:v>
      </x:c>
      <x:c r="D410" s="18" t="str">
        <x:v>Western Australia</x:v>
      </x:c>
      <x:c r="E410" s="80" t="n">
        <x:v>4</x:v>
      </x:c>
      <x:c r="F410" s="80" t="n">
        <x:v>759</x:v>
      </x:c>
      <x:c r="G410" s="81" t="n">
        <x:f>E410/F410</x:f>
        <x:v>0.005270092226613966</x:v>
      </x:c>
      <x:c r="H410" s="82" t="n">
        <x:v>116.3998901235168</x:v>
      </x:c>
      <x:c r="I410" s="82" t="n">
        <x:v>-32.816296299930045</x:v>
      </x:c>
      <x:c r="J410" s="83" t="n">
        <x:v>1904.4791</x:v>
      </x:c>
    </x:row>
    <x:row r="411">
      <x:c r="A411" s="78" t="n">
        <x:v>2021</x:v>
      </x:c>
      <x:c r="B411" s="79" t="str">
        <x:v>51120</x:v>
      </x:c>
      <x:c r="C411" s="18" t="str">
        <x:v>Bruce Rock</x:v>
      </x:c>
      <x:c r="D411" s="18" t="str">
        <x:v>Western Australia</x:v>
      </x:c>
      <x:c r="E411" s="80" t="n">
        <x:v>4</x:v>
      </x:c>
      <x:c r="F411" s="80" t="n">
        <x:v>411</x:v>
      </x:c>
      <x:c r="G411" s="81" t="n">
        <x:f>E411/F411</x:f>
        <x:v>0.009732360097323601</x:v>
      </x:c>
      <x:c r="H411" s="82" t="n">
        <x:v>118.02862997402103</x:v>
      </x:c>
      <x:c r="I411" s="82" t="n">
        <x:v>-31.9525895453384</x:v>
      </x:c>
      <x:c r="J411" s="83" t="n">
        <x:v>2724.6944</x:v>
      </x:c>
    </x:row>
    <x:row r="412">
      <x:c r="A412" s="78" t="n">
        <x:v>2021</x:v>
      </x:c>
      <x:c r="B412" s="79" t="str">
        <x:v>31750</x:v>
      </x:c>
      <x:c r="C412" s="18" t="str">
        <x:v>Bulloo</x:v>
      </x:c>
      <x:c r="D412" s="18" t="str">
        <x:v>Queensland</x:v>
      </x:c>
      <x:c r="E412" s="80" t="n">
        <x:v>4</x:v>
      </x:c>
      <x:c r="F412" s="80" t="n">
        <x:v>218</x:v>
      </x:c>
      <x:c r="G412" s="81" t="n">
        <x:f>E412/F412</x:f>
        <x:v>0.01834862385321101</x:v>
      </x:c>
      <x:c r="H412" s="82" t="n">
        <x:v>142.59485191338752</x:v>
      </x:c>
      <x:c r="I412" s="82" t="n">
        <x:v>-28.021293758734096</x:v>
      </x:c>
      <x:c r="J412" s="83" t="n">
        <x:v>73722.0101</x:v>
      </x:c>
    </x:row>
    <x:row r="413">
      <x:c r="A413" s="78" t="n">
        <x:v>2021</x:v>
      </x:c>
      <x:c r="B413" s="79" t="str">
        <x:v>11600</x:v>
      </x:c>
      <x:c r="C413" s="18" t="str">
        <x:v>Carrathool</x:v>
      </x:c>
      <x:c r="D413" s="18" t="str">
        <x:v>New South Wales</x:v>
      </x:c>
      <x:c r="E413" s="80" t="n">
        <x:v>4</x:v>
      </x:c>
      <x:c r="F413" s="80" t="n">
        <x:v>1468</x:v>
      </x:c>
      <x:c r="G413" s="81" t="n">
        <x:f>E413/F413</x:f>
        <x:v>0.0027247956403269754</x:v>
      </x:c>
      <x:c r="H413" s="82" t="n">
        <x:v>145.49642507004305</x:v>
      </x:c>
      <x:c r="I413" s="82" t="n">
        <x:v>-33.60899281087449</x:v>
      </x:c>
      <x:c r="J413" s="83" t="n">
        <x:v>18934.4853</x:v>
      </x:c>
    </x:row>
    <x:row r="414">
      <x:c r="A414" s="78" t="n">
        <x:v>2021</x:v>
      </x:c>
      <x:c r="B414" s="79" t="str">
        <x:v>12000</x:v>
      </x:c>
      <x:c r="C414" s="18" t="str">
        <x:v>Coolamon</x:v>
      </x:c>
      <x:c r="D414" s="18" t="str">
        <x:v>New South Wales</x:v>
      </x:c>
      <x:c r="E414" s="80" t="n">
        <x:v>4</x:v>
      </x:c>
      <x:c r="F414" s="80" t="n">
        <x:v>1982</x:v>
      </x:c>
      <x:c r="G414" s="81" t="n">
        <x:f>E414/F414</x:f>
        <x:v>0.0020181634712411706</x:v>
      </x:c>
      <x:c r="H414" s="82" t="n">
        <x:v>147.104832894111</x:v>
      </x:c>
      <x:c r="I414" s="82" t="n">
        <x:v>-34.63253154694565</x:v>
      </x:c>
      <x:c r="J414" s="83" t="n">
        <x:v>2430.9037</x:v>
      </x:c>
    </x:row>
    <x:row r="415">
      <x:c r="A415" s="78" t="n">
        <x:v>2021</x:v>
      </x:c>
      <x:c r="B415" s="79" t="str">
        <x:v>53010</x:v>
      </x:c>
      <x:c r="C415" s="18" t="str">
        <x:v>Dumbleyung</x:v>
      </x:c>
      <x:c r="D415" s="18" t="str">
        <x:v>Western Australia</x:v>
      </x:c>
      <x:c r="E415" s="80" t="n">
        <x:v>4</x:v>
      </x:c>
      <x:c r="F415" s="80" t="n">
        <x:v>312</x:v>
      </x:c>
      <x:c r="G415" s="81" t="n">
        <x:f>E415/F415</x:f>
        <x:v>0.01282051282051282</x:v>
      </x:c>
      <x:c r="H415" s="82" t="n">
        <x:v>117.96452742980927</x:v>
      </x:c>
      <x:c r="I415" s="82" t="n">
        <x:v>-33.224501454219165</x:v>
      </x:c>
      <x:c r="J415" s="83" t="n">
        <x:v>2539.2249</x:v>
      </x:c>
    </x:row>
    <x:row r="416">
      <x:c r="A416" s="78" t="n">
        <x:v>2021</x:v>
      </x:c>
      <x:c r="B416" s="79" t="str">
        <x:v>41830</x:v>
      </x:c>
      <x:c r="C416" s="18" t="str">
        <x:v>Flinders Ranges</x:v>
      </x:c>
      <x:c r="D416" s="18" t="str">
        <x:v>South Australia</x:v>
      </x:c>
      <x:c r="E416" s="80" t="n">
        <x:v>4</x:v>
      </x:c>
      <x:c r="F416" s="80" t="n">
        <x:v>716</x:v>
      </x:c>
      <x:c r="G416" s="81" t="n">
        <x:f>E416/F416</x:f>
        <x:v>0.00558659217877095</x:v>
      </x:c>
      <x:c r="H416" s="82" t="n">
        <x:v>138.30119070758883</x:v>
      </x:c>
      <x:c r="I416" s="82" t="n">
        <x:v>-32.07562392543787</x:v>
      </x:c>
      <x:c r="J416" s="83" t="n">
        <x:v>4070.4827</x:v>
      </x:c>
    </x:row>
    <x:row r="417">
      <x:c r="A417" s="78" t="n">
        <x:v>2021</x:v>
      </x:c>
      <x:c r="B417" s="79" t="str">
        <x:v>41960</x:v>
      </x:c>
      <x:c r="C417" s="18" t="str">
        <x:v>Franklin Harbour</x:v>
      </x:c>
      <x:c r="D417" s="18" t="str">
        <x:v>South Australia</x:v>
      </x:c>
      <x:c r="E417" s="80" t="n">
        <x:v>4</x:v>
      </x:c>
      <x:c r="F417" s="80" t="n">
        <x:v>545</x:v>
      </x:c>
      <x:c r="G417" s="81" t="n">
        <x:f>E417/F417</x:f>
        <x:v>0.007339449541284404</x:v>
      </x:c>
      <x:c r="H417" s="82" t="n">
        <x:v>136.9644078413673</x:v>
      </x:c>
      <x:c r="I417" s="82" t="n">
        <x:v>-33.534303159117485</x:v>
      </x:c>
      <x:c r="J417" s="83" t="n">
        <x:v>2755.5639</x:v>
      </x:c>
    </x:row>
    <x:row r="418">
      <x:c r="A418" s="78" t="n">
        <x:v>2021</x:v>
      </x:c>
      <x:c r="B418" s="79" t="str">
        <x:v>42110</x:v>
      </x:c>
      <x:c r="C418" s="18" t="str">
        <x:v>Goyder</x:v>
      </x:c>
      <x:c r="D418" s="18" t="str">
        <x:v>South Australia</x:v>
      </x:c>
      <x:c r="E418" s="80" t="n">
        <x:v>4</x:v>
      </x:c>
      <x:c r="F418" s="80" t="n">
        <x:v>1669</x:v>
      </x:c>
      <x:c r="G418" s="81" t="n">
        <x:f>E418/F418</x:f>
        <x:v>0.002396644697423607</x:v>
      </x:c>
      <x:c r="H418" s="82" t="n">
        <x:v>139.07407518031152</x:v>
      </x:c>
      <x:c r="I418" s="82" t="n">
        <x:v>-33.645971180301146</x:v>
      </x:c>
      <x:c r="J418" s="83" t="n">
        <x:v>6715.1418</x:v>
      </x:c>
    </x:row>
    <x:row r="419">
      <x:c r="A419" s="78" t="n">
        <x:v>2021</x:v>
      </x:c>
      <x:c r="B419" s="79" t="str">
        <x:v>63210</x:v>
      </x:c>
      <x:c r="C419" s="18" t="str">
        <x:v>Kentish</x:v>
      </x:c>
      <x:c r="D419" s="18" t="str">
        <x:v>Tasmania</x:v>
      </x:c>
      <x:c r="E419" s="80" t="n">
        <x:v>4</x:v>
      </x:c>
      <x:c r="F419" s="80" t="n">
        <x:v>2815</x:v>
      </x:c>
      <x:c r="G419" s="81" t="n">
        <x:f>E419/F419</x:f>
        <x:v>0.0014209591474245115</x:v>
      </x:c>
      <x:c r="H419" s="82" t="n">
        <x:v>146.18351449647633</x:v>
      </x:c>
      <x:c r="I419" s="82" t="n">
        <x:v>-41.45396931013851</x:v>
      </x:c>
      <x:c r="J419" s="83" t="n">
        <x:v>1156.1888</x:v>
      </x:c>
    </x:row>
    <x:row r="420">
      <x:c r="A420" s="78" t="n">
        <x:v>2021</x:v>
      </x:c>
      <x:c r="B420" s="79" t="str">
        <x:v>43360</x:v>
      </x:c>
      <x:c r="C420" s="18" t="str">
        <x:v>Kingston (SA)</x:v>
      </x:c>
      <x:c r="D420" s="18" t="str">
        <x:v>South Australia</x:v>
      </x:c>
      <x:c r="E420" s="80" t="n">
        <x:v>4</x:v>
      </x:c>
      <x:c r="F420" s="80" t="n">
        <x:v>1064</x:v>
      </x:c>
      <x:c r="G420" s="81" t="n">
        <x:f>E420/F420</x:f>
        <x:v>0.0037593984962406013</x:v>
      </x:c>
      <x:c r="H420" s="82" t="n">
        <x:v>140.02550956730732</x:v>
      </x:c>
      <x:c r="I420" s="82" t="n">
        <x:v>-36.64351574872009</x:v>
      </x:c>
      <x:c r="J420" s="83" t="n">
        <x:v>3339.7952</x:v>
      </x:c>
    </x:row>
    <x:row r="421">
      <x:c r="A421" s="78" t="n">
        <x:v>2021</x:v>
      </x:c>
      <x:c r="B421" s="79" t="str">
        <x:v>54550</x:v>
      </x:c>
      <x:c r="C421" s="18" t="str">
        <x:v>Kojonup</x:v>
      </x:c>
      <x:c r="D421" s="18" t="str">
        <x:v>Western Australia</x:v>
      </x:c>
      <x:c r="E421" s="80" t="n">
        <x:v>4</x:v>
      </x:c>
      <x:c r="F421" s="80" t="n">
        <x:v>967</x:v>
      </x:c>
      <x:c r="G421" s="81" t="n">
        <x:f>E421/F421</x:f>
        <x:v>0.004136504653567736</x:v>
      </x:c>
      <x:c r="H421" s="82" t="n">
        <x:v>117.04801183812819</x:v>
      </x:c>
      <x:c r="I421" s="82" t="n">
        <x:v>-33.907636591293944</x:v>
      </x:c>
      <x:c r="J421" s="83" t="n">
        <x:v>2930.9925</x:v>
      </x:c>
    </x:row>
    <x:row r="422">
      <x:c r="A422" s="78" t="n">
        <x:v>2021</x:v>
      </x:c>
      <x:c r="B422" s="79" t="str">
        <x:v>54970</x:v>
      </x:c>
      <x:c r="C422" s="18" t="str">
        <x:v>Laverton</x:v>
      </x:c>
      <x:c r="D422" s="18" t="str">
        <x:v>Western Australia</x:v>
      </x:c>
      <x:c r="E422" s="80" t="n">
        <x:v>4</x:v>
      </x:c>
      <x:c r="F422" s="80" t="n">
        <x:v>518</x:v>
      </x:c>
      <x:c r="G422" s="81" t="n">
        <x:f>E422/F422</x:f>
        <x:v>0.007722007722007722</x:v>
      </x:c>
      <x:c r="H422" s="82" t="n">
        <x:v>125.40166490536184</x:v>
      </x:c>
      <x:c r="I422" s="82" t="n">
        <x:v>-27.891114460616055</x:v>
      </x:c>
      <x:c r="J422" s="83" t="n">
        <x:v>179993.971</x:v>
      </x:c>
    </x:row>
    <x:row r="423">
      <x:c r="A423" s="78" t="n">
        <x:v>2021</x:v>
      </x:c>
      <x:c r="B423" s="79" t="str">
        <x:v>44830</x:v>
      </x:c>
      <x:c r="C423" s="18" t="str">
        <x:v>Mount Remarkable</x:v>
      </x:c>
      <x:c r="D423" s="18" t="str">
        <x:v>South Australia</x:v>
      </x:c>
      <x:c r="E423" s="80" t="n">
        <x:v>4</x:v>
      </x:c>
      <x:c r="F423" s="80" t="n">
        <x:v>1232</x:v>
      </x:c>
      <x:c r="G423" s="81" t="n">
        <x:f>E423/F423</x:f>
        <x:v>0.003246753246753247</x:v>
      </x:c>
      <x:c r="H423" s="82" t="n">
        <x:v>138.20511284569562</x:v>
      </x:c>
      <x:c r="I423" s="82" t="n">
        <x:v>-32.758284441725024</x:v>
      </x:c>
      <x:c r="J423" s="83" t="n">
        <x:v>3422.7733</x:v>
      </x:c>
    </x:row>
    <x:row r="424">
      <x:c r="A424" s="78" t="n">
        <x:v>2021</x:v>
      </x:c>
      <x:c r="B424" s="79" t="str">
        <x:v>45120</x:v>
      </x:c>
      <x:c r="C424" s="18" t="str">
        <x:v>Northern Areas</x:v>
      </x:c>
      <x:c r="D424" s="18" t="str">
        <x:v>South Australia</x:v>
      </x:c>
      <x:c r="E424" s="80" t="n">
        <x:v>4</x:v>
      </x:c>
      <x:c r="F424" s="80" t="n">
        <x:v>2058</x:v>
      </x:c>
      <x:c r="G424" s="81" t="n">
        <x:f>E424/F424</x:f>
        <x:v>0.001943634596695821</x:v>
      </x:c>
      <x:c r="H424" s="82" t="n">
        <x:v>138.51141969227413</x:v>
      </x:c>
      <x:c r="I424" s="82" t="n">
        <x:v>-33.28640906572023</x:v>
      </x:c>
      <x:c r="J424" s="83" t="n">
        <x:v>2986.1818</x:v>
      </x:c>
    </x:row>
    <x:row r="425">
      <x:c r="A425" s="78" t="n">
        <x:v>2021</x:v>
      </x:c>
      <x:c r="B425" s="79" t="str">
        <x:v>35800</x:v>
      </x:c>
      <x:c r="C425" s="18" t="str">
        <x:v>Paroo</x:v>
      </x:c>
      <x:c r="D425" s="18" t="str">
        <x:v>Queensland</x:v>
      </x:c>
      <x:c r="E425" s="80" t="n">
        <x:v>4</x:v>
      </x:c>
      <x:c r="F425" s="80" t="n">
        <x:v>648</x:v>
      </x:c>
      <x:c r="G425" s="81" t="n">
        <x:f>E425/F425</x:f>
        <x:v>0.006172839506172839</x:v>
      </x:c>
      <x:c r="H425" s="82" t="n">
        <x:v>145.77131117684922</x:v>
      </x:c>
      <x:c r="I425" s="82" t="n">
        <x:v>-28.072967584593602</x:v>
      </x:c>
      <x:c r="J425" s="83" t="n">
        <x:v>47614.9225</x:v>
      </x:c>
    </x:row>
    <x:row r="426">
      <x:c r="A426" s="78" t="n">
        <x:v>2021</x:v>
      </x:c>
      <x:c r="B426" s="79" t="str">
        <x:v>57210</x:v>
      </x:c>
      <x:c r="C426" s="18" t="str">
        <x:v>Plantagenet</x:v>
      </x:c>
      <x:c r="D426" s="18" t="str">
        <x:v>Western Australia</x:v>
      </x:c>
      <x:c r="E426" s="80" t="n">
        <x:v>4</x:v>
      </x:c>
      <x:c r="F426" s="80" t="n">
        <x:v>2308</x:v>
      </x:c>
      <x:c r="G426" s="81" t="n">
        <x:f>E426/F426</x:f>
        <x:v>0.0017331022530329288</x:v>
      </x:c>
      <x:c r="H426" s="82" t="n">
        <x:v>117.56196898971403</x:v>
      </x:c>
      <x:c r="I426" s="82" t="n">
        <x:v>-34.597219001605055</x:v>
      </x:c>
      <x:c r="J426" s="83" t="n">
        <x:v>4876.682</x:v>
      </x:c>
    </x:row>
    <x:row r="427">
      <x:c r="A427" s="78" t="n">
        <x:v>2021</x:v>
      </x:c>
      <x:c r="B427" s="79" t="str">
        <x:v>36150</x:v>
      </x:c>
      <x:c r="C427" s="18" t="str">
        <x:v>Quilpie</x:v>
      </x:c>
      <x:c r="D427" s="18" t="str">
        <x:v>Queensland</x:v>
      </x:c>
      <x:c r="E427" s="80" t="n">
        <x:v>4</x:v>
      </x:c>
      <x:c r="F427" s="80" t="n">
        <x:v>389</x:v>
      </x:c>
      <x:c r="G427" s="81" t="n">
        <x:f>E427/F427</x:f>
        <x:v>0.010282776349614395</x:v>
      </x:c>
      <x:c r="H427" s="82" t="n">
        <x:v>143.89343841259773</x:v>
      </x:c>
      <x:c r="I427" s="82" t="n">
        <x:v>-26.34882992159338</x:v>
      </x:c>
      <x:c r="J427" s="83" t="n">
        <x:v>67414.6563</x:v>
      </x:c>
    </x:row>
    <x:row r="428">
      <x:c r="A428" s="78" t="n">
        <x:v>2021</x:v>
      </x:c>
      <x:c r="B428" s="79" t="str">
        <x:v>57420</x:v>
      </x:c>
      <x:c r="C428" s="18" t="str">
        <x:v>Ravensthorpe</x:v>
      </x:c>
      <x:c r="D428" s="18" t="str">
        <x:v>Western Australia</x:v>
      </x:c>
      <x:c r="E428" s="80" t="n">
        <x:v>4</x:v>
      </x:c>
      <x:c r="F428" s="80" t="n">
        <x:v>997</x:v>
      </x:c>
      <x:c r="G428" s="81" t="n">
        <x:f>E428/F428</x:f>
        <x:v>0.004012036108324975</x:v>
      </x:c>
      <x:c r="H428" s="82" t="n">
        <x:v>120.1385984931675</x:v>
      </x:c>
      <x:c r="I428" s="82" t="n">
        <x:v>-33.61619563483798</x:v>
      </x:c>
      <x:c r="J428" s="83" t="n">
        <x:v>9841.7504</x:v>
      </x:c>
    </x:row>
    <x:row r="429">
      <x:c r="A429" s="78" t="n">
        <x:v>2021</x:v>
      </x:c>
      <x:c r="B429" s="79" t="str">
        <x:v>57630</x:v>
      </x:c>
      <x:c r="C429" s="18" t="str">
        <x:v>Sandstone</x:v>
      </x:c>
      <x:c r="D429" s="18" t="str">
        <x:v>Western Australia</x:v>
      </x:c>
      <x:c r="E429" s="80" t="n">
        <x:v>4</x:v>
      </x:c>
      <x:c r="F429" s="80" t="n">
        <x:v>44</x:v>
      </x:c>
      <x:c r="G429" s="81" t="n">
        <x:f>E429/F429</x:f>
        <x:v>0.09090909090909091</x:v>
      </x:c>
      <x:c r="H429" s="82" t="n">
        <x:v>119.1731127058143</x:v>
      </x:c>
      <x:c r="I429" s="82" t="n">
        <x:v>-28.335914430200816</x:v>
      </x:c>
      <x:c r="J429" s="83" t="n">
        <x:v>32605.2912</x:v>
      </x:c>
    </x:row>
    <x:row r="430">
      <x:c r="A430" s="78" t="n">
        <x:v>2021</x:v>
      </x:c>
      <x:c r="B430" s="79" t="str">
        <x:v>47290</x:v>
      </x:c>
      <x:c r="C430" s="18" t="str">
        <x:v>Southern Mallee</x:v>
      </x:c>
      <x:c r="D430" s="18" t="str">
        <x:v>South Australia</x:v>
      </x:c>
      <x:c r="E430" s="80" t="n">
        <x:v>4</x:v>
      </x:c>
      <x:c r="F430" s="80" t="n">
        <x:v>967</x:v>
      </x:c>
      <x:c r="G430" s="81" t="n">
        <x:f>E430/F430</x:f>
        <x:v>0.004136504653567736</x:v>
      </x:c>
      <x:c r="H430" s="82" t="n">
        <x:v>140.5743516079136</x:v>
      </x:c>
      <x:c r="I430" s="82" t="n">
        <x:v>-35.39392062082209</x:v>
      </x:c>
      <x:c r="J430" s="83" t="n">
        <x:v>5702.2024</x:v>
      </x:c>
    </x:row>
    <x:row r="431">
      <x:c r="A431" s="78" t="n">
        <x:v>2021</x:v>
      </x:c>
      <x:c r="B431" s="79" t="str">
        <x:v>74680</x:v>
      </x:c>
      <x:c r="C431" s="18" t="str">
        <x:v>West Daly</x:v>
      </x:c>
      <x:c r="D431" s="18" t="str">
        <x:v>Northern Territory</x:v>
      </x:c>
      <x:c r="E431" s="80" t="n">
        <x:v>4</x:v>
      </x:c>
      <x:c r="F431" s="80" t="n">
        <x:v>470</x:v>
      </x:c>
      <x:c r="G431" s="81" t="n">
        <x:f>E431/F431</x:f>
        <x:v>0.00851063829787234</x:v>
      </x:c>
      <x:c r="H431" s="82" t="n">
        <x:v>130.06033936647708</x:v>
      </x:c>
      <x:c r="I431" s="82" t="n">
        <x:v>-14.223007319211934</x:v>
      </x:c>
      <x:c r="J431" s="83" t="n">
        <x:v>14069.698</x:v>
      </x:c>
    </x:row>
    <x:row r="432">
      <x:c r="A432" s="78" t="n">
        <x:v>2021</x:v>
      </x:c>
      <x:c r="B432" s="79" t="str">
        <x:v>50560</x:v>
      </x:c>
      <x:c r="C432" s="18" t="str">
        <x:v>Beverley</x:v>
      </x:c>
      <x:c r="D432" s="18" t="str">
        <x:v>Western Australia</x:v>
      </x:c>
      <x:c r="E432" s="80" t="n">
        <x:v>3</x:v>
      </x:c>
      <x:c r="F432" s="80" t="n">
        <x:v>651</x:v>
      </x:c>
      <x:c r="G432" s="81" t="n">
        <x:f>E432/F432</x:f>
        <x:v>0.004608294930875576</x:v>
      </x:c>
      <x:c r="H432" s="82" t="n">
        <x:v>116.7965792686195</x:v>
      </x:c>
      <x:c r="I432" s="82" t="n">
        <x:v>-32.174664489076264</x:v>
      </x:c>
      <x:c r="J432" s="83" t="n">
        <x:v>2370.5195</x:v>
      </x:c>
    </x:row>
    <x:row r="433">
      <x:c r="A433" s="78" t="n">
        <x:v>2021</x:v>
      </x:c>
      <x:c r="B433" s="79" t="str">
        <x:v>10800</x:v>
      </x:c>
      <x:c r="C433" s="18" t="str">
        <x:v>Bland</x:v>
      </x:c>
      <x:c r="D433" s="18" t="str">
        <x:v>New South Wales</x:v>
      </x:c>
      <x:c r="E433" s="80" t="n">
        <x:v>3</x:v>
      </x:c>
      <x:c r="F433" s="80" t="n">
        <x:v>2545</x:v>
      </x:c>
      <x:c r="G433" s="81" t="n">
        <x:f>E433/F433</x:f>
        <x:v>0.0011787819253438114</x:v>
      </x:c>
      <x:c r="H433" s="82" t="n">
        <x:v>146.96126723401113</x:v>
      </x:c>
      <x:c r="I433" s="82" t="n">
        <x:v>-33.894343803958115</x:v>
      </x:c>
      <x:c r="J433" s="83" t="n">
        <x:v>8557.6536</x:v>
      </x:c>
    </x:row>
    <x:row r="434">
      <x:c r="A434" s="78" t="n">
        <x:v>2021</x:v>
      </x:c>
      <x:c r="B434" s="79" t="str">
        <x:v>10950</x:v>
      </x:c>
      <x:c r="C434" s="18" t="str">
        <x:v>Bogan</x:v>
      </x:c>
      <x:c r="D434" s="18" t="str">
        <x:v>New South Wales</x:v>
      </x:c>
      <x:c r="E434" s="80" t="n">
        <x:v>3</x:v>
      </x:c>
      <x:c r="F434" s="80" t="n">
        <x:v>1199</x:v>
      </x:c>
      <x:c r="G434" s="81" t="n">
        <x:f>E434/F434</x:f>
        <x:v>0.0025020850708924102</x:v>
      </x:c>
      <x:c r="H434" s="82" t="n">
        <x:v>146.86687276312497</x:v>
      </x:c>
      <x:c r="I434" s="82" t="n">
        <x:v>-31.538129058571112</x:v>
      </x:c>
      <x:c r="J434" s="83" t="n">
        <x:v>14599.8996</x:v>
      </x:c>
    </x:row>
    <x:row r="435">
      <x:c r="A435" s="78" t="n">
        <x:v>2021</x:v>
      </x:c>
      <x:c r="B435" s="79" t="str">
        <x:v>60410</x:v>
      </x:c>
      <x:c r="C435" s="18" t="str">
        <x:v>Brighton</x:v>
      </x:c>
      <x:c r="D435" s="18" t="str">
        <x:v>Tasmania</x:v>
      </x:c>
      <x:c r="E435" s="80" t="n">
        <x:v>3</x:v>
      </x:c>
      <x:c r="F435" s="80" t="n">
        <x:v>8256</x:v>
      </x:c>
      <x:c r="G435" s="81" t="n">
        <x:f>E435/F435</x:f>
        <x:v>0.0003633720930232558</x:v>
      </x:c>
      <x:c r="H435" s="82" t="n">
        <x:v>147.26095362048736</x:v>
      </x:c>
      <x:c r="I435" s="82" t="n">
        <x:v>-42.719340795000306</x:v>
      </x:c>
      <x:c r="J435" s="83" t="n">
        <x:v>171.1508</x:v>
      </x:c>
    </x:row>
    <x:row r="436">
      <x:c r="A436" s="78" t="n">
        <x:v>2021</x:v>
      </x:c>
      <x:c r="B436" s="79" t="str">
        <x:v>51080</x:v>
      </x:c>
      <x:c r="C436" s="18" t="str">
        <x:v>Broomehill-Tambellup</x:v>
      </x:c>
      <x:c r="D436" s="18" t="str">
        <x:v>Western Australia</x:v>
      </x:c>
      <x:c r="E436" s="80" t="n">
        <x:v>3</x:v>
      </x:c>
      <x:c r="F436" s="80" t="n">
        <x:v>466</x:v>
      </x:c>
      <x:c r="G436" s="81" t="n">
        <x:f>E436/F436</x:f>
        <x:v>0.006437768240343348</x:v>
      </x:c>
      <x:c r="H436" s="82" t="n">
        <x:v>117.66131855424089</x:v>
      </x:c>
      <x:c r="I436" s="82" t="n">
        <x:v>-34.00250985951678</x:v>
      </x:c>
      <x:c r="J436" s="83" t="n">
        <x:v>2609.6612</x:v>
      </x:c>
    </x:row>
    <x:row r="437">
      <x:c r="A437" s="78" t="n">
        <x:v>2021</x:v>
      </x:c>
      <x:c r="B437" s="79" t="str">
        <x:v>70620</x:v>
      </x:c>
      <x:c r="C437" s="18" t="str">
        <x:v>Central Desert</x:v>
      </x:c>
      <x:c r="D437" s="18" t="str">
        <x:v>Northern Territory</x:v>
      </x:c>
      <x:c r="E437" s="80" t="n">
        <x:v>3</x:v>
      </x:c>
      <x:c r="F437" s="80" t="n">
        <x:v>744</x:v>
      </x:c>
      <x:c r="G437" s="81" t="n">
        <x:f>E437/F437</x:f>
        <x:v>0.004032258064516129</x:v>
      </x:c>
      <x:c r="H437" s="82" t="n">
        <x:v>132.41500821132328</x:v>
      </x:c>
      <x:c r="I437" s="82" t="n">
        <x:v>-21.489817215123992</x:v>
      </x:c>
      <x:c r="J437" s="83" t="n">
        <x:v>281338.022</x:v>
      </x:c>
    </x:row>
    <x:row r="438">
      <x:c r="A438" s="78" t="n">
        <x:v>2021</x:v>
      </x:c>
      <x:c r="B438" s="79" t="str">
        <x:v>51680</x:v>
      </x:c>
      <x:c r="C438" s="18" t="str">
        <x:v>Chittering</x:v>
      </x:c>
      <x:c r="D438" s="18" t="str">
        <x:v>Western Australia</x:v>
      </x:c>
      <x:c r="E438" s="80" t="n">
        <x:v>3</x:v>
      </x:c>
      <x:c r="F438" s="80" t="n">
        <x:v>2893</x:v>
      </x:c>
      <x:c r="G438" s="81" t="n">
        <x:f>E438/F438</x:f>
        <x:v>0.0010369858278603526</x:v>
      </x:c>
      <x:c r="H438" s="82" t="n">
        <x:v>116.07833616727045</x:v>
      </x:c>
      <x:c r="I438" s="82" t="n">
        <x:v>-31.37439471832132</x:v>
      </x:c>
      <x:c r="J438" s="83" t="n">
        <x:v>1219.9032</x:v>
      </x:c>
    </x:row>
    <x:row r="439">
      <x:c r="A439" s="78" t="n">
        <x:v>2021</x:v>
      </x:c>
      <x:c r="B439" s="79" t="str">
        <x:v>51960</x:v>
      </x:c>
      <x:c r="C439" s="18" t="str">
        <x:v>Coolgardie</x:v>
      </x:c>
      <x:c r="D439" s="18" t="str">
        <x:v>Western Australia</x:v>
      </x:c>
      <x:c r="E439" s="80" t="n">
        <x:v>3</x:v>
      </x:c>
      <x:c r="F439" s="80" t="n">
        <x:v>1359</x:v>
      </x:c>
      <x:c r="G439" s="81" t="n">
        <x:f>E439/F439</x:f>
        <x:v>0.002207505518763797</x:v>
      </x:c>
      <x:c r="H439" s="82" t="n">
        <x:v>120.9644629590764</x:v>
      </x:c>
      <x:c r="I439" s="82" t="n">
        <x:v>-31.186785431975494</x:v>
      </x:c>
      <x:c r="J439" s="83" t="n">
        <x:v>30297.6977</x:v>
      </x:c>
    </x:row>
    <x:row r="440">
      <x:c r="A440" s="78" t="n">
        <x:v>2021</x:v>
      </x:c>
      <x:c r="B440" s="79" t="str">
        <x:v>52100</x:v>
      </x:c>
      <x:c r="C440" s="18" t="str">
        <x:v>Corrigin</x:v>
      </x:c>
      <x:c r="D440" s="18" t="str">
        <x:v>Western Australia</x:v>
      </x:c>
      <x:c r="E440" s="80" t="n">
        <x:v>3</x:v>
      </x:c>
      <x:c r="F440" s="80" t="n">
        <x:v>527</x:v>
      </x:c>
      <x:c r="G440" s="81" t="n">
        <x:f>E440/F440</x:f>
        <x:v>0.0056925996204933585</x:v>
      </x:c>
      <x:c r="H440" s="82" t="n">
        <x:v>117.79902921370618</x:v>
      </x:c>
      <x:c r="I440" s="82" t="n">
        <x:v>-32.358366732121446</x:v>
      </x:c>
      <x:c r="J440" s="83" t="n">
        <x:v>2681.271</x:v>
      </x:c>
    </x:row>
    <x:row r="441">
      <x:c r="A441" s="78" t="n">
        <x:v>2021</x:v>
      </x:c>
      <x:c r="B441" s="79" t="str">
        <x:v>71150</x:v>
      </x:c>
      <x:c r="C441" s="18" t="str">
        <x:v>Darwin Waterfront Precinct</x:v>
      </x:c>
      <x:c r="D441" s="18" t="str">
        <x:v>Northern Territory</x:v>
      </x:c>
      <x:c r="E441" s="80" t="n">
        <x:v>3</x:v>
      </x:c>
      <x:c r="F441" s="80" t="n">
        <x:v>209</x:v>
      </x:c>
      <x:c r="G441" s="81" t="n">
        <x:f>E441/F441</x:f>
        <x:v>0.014354066985645933</x:v>
      </x:c>
      <x:c r="H441" s="82" t="n">
        <x:v>130.84671227031225</x:v>
      </x:c>
      <x:c r="I441" s="82" t="n">
        <x:v>-12.469278392748025</x:v>
      </x:c>
      <x:c r="J441" s="83" t="n">
        <x:v>0.7447</x:v>
      </x:c>
    </x:row>
    <x:row r="442">
      <x:c r="A442" s="78" t="n">
        <x:v>2021</x:v>
      </x:c>
      <x:c r="B442" s="79" t="str">
        <x:v>12700</x:v>
      </x:c>
      <x:c r="C442" s="18" t="str">
        <x:v>Dungog</x:v>
      </x:c>
      <x:c r="D442" s="18" t="str">
        <x:v>New South Wales</x:v>
      </x:c>
      <x:c r="E442" s="80" t="n">
        <x:v>3</x:v>
      </x:c>
      <x:c r="F442" s="80" t="n">
        <x:v>4403</x:v>
      </x:c>
      <x:c r="G442" s="81" t="n">
        <x:f>E442/F442</x:f>
        <x:v>0.0006813536225300931</x:v>
      </x:c>
      <x:c r="H442" s="82" t="n">
        <x:v>151.60828730428824</x:v>
      </x:c>
      <x:c r="I442" s="82" t="n">
        <x:v>-32.34956051854955</x:v>
      </x:c>
      <x:c r="J442" s="83" t="n">
        <x:v>2249.9983</x:v>
      </x:c>
    </x:row>
    <x:row r="443">
      <x:c r="A443" s="78" t="n">
        <x:v>2021</x:v>
      </x:c>
      <x:c r="B443" s="79" t="str">
        <x:v>71300</x:v>
      </x:c>
      <x:c r="C443" s="18" t="str">
        <x:v>East Arnhem</x:v>
      </x:c>
      <x:c r="D443" s="18" t="str">
        <x:v>Northern Territory</x:v>
      </x:c>
      <x:c r="E443" s="80" t="n">
        <x:v>3</x:v>
      </x:c>
      <x:c r="F443" s="80" t="n">
        <x:v>1498</x:v>
      </x:c>
      <x:c r="G443" s="81" t="n">
        <x:f>E443/F443</x:f>
        <x:v>0.0020026702269692926</x:v>
      </x:c>
      <x:c r="H443" s="82" t="n">
        <x:v>135.74553078278396</x:v>
      </x:c>
      <x:c r="I443" s="82" t="n">
        <x:v>-12.933243730331883</x:v>
      </x:c>
      <x:c r="J443" s="83" t="n">
        <x:v>33309.9334</x:v>
      </x:c>
    </x:row>
    <x:row r="444">
      <x:c r="A444" s="78" t="n">
        <x:v>2021</x:v>
      </x:c>
      <x:c r="B444" s="79" t="str">
        <x:v>33200</x:v>
      </x:c>
      <x:c r="C444" s="18" t="str">
        <x:v>Flinders (Qld)</x:v>
      </x:c>
      <x:c r="D444" s="18" t="str">
        <x:v>Queensland</x:v>
      </x:c>
      <x:c r="E444" s="80" t="n">
        <x:v>3</x:v>
      </x:c>
      <x:c r="F444" s="80" t="n">
        <x:v>732</x:v>
      </x:c>
      <x:c r="G444" s="81" t="n">
        <x:f>E444/F444</x:f>
        <x:v>0.004098360655737705</x:v>
      </x:c>
      <x:c r="H444" s="82" t="n">
        <x:v>144.3217273996266</x:v>
      </x:c>
      <x:c r="I444" s="82" t="n">
        <x:v>-20.97388023965664</x:v>
      </x:c>
      <x:c r="J444" s="83" t="n">
        <x:v>41199.9375</x:v>
      </x:c>
    </x:row>
    <x:row r="445">
      <x:c r="A445" s="78" t="n">
        <x:v>2021</x:v>
      </x:c>
      <x:c r="B445" s="79" t="str">
        <x:v>53640</x:v>
      </x:c>
      <x:c r="C445" s="18" t="str">
        <x:v>Gnowangerup</x:v>
      </x:c>
      <x:c r="D445" s="18" t="str">
        <x:v>Western Australia</x:v>
      </x:c>
      <x:c r="E445" s="80" t="n">
        <x:v>3</x:v>
      </x:c>
      <x:c r="F445" s="80" t="n">
        <x:v>610</x:v>
      </x:c>
      <x:c r="G445" s="81" t="n">
        <x:f>E445/F445</x:f>
        <x:v>0.004918032786885246</x:v>
      </x:c>
      <x:c r="H445" s="82" t="n">
        <x:v>118.28874204237421</x:v>
      </x:c>
      <x:c r="I445" s="82" t="n">
        <x:v>-34.062135206724804</x:v>
      </x:c>
      <x:c r="J445" s="83" t="n">
        <x:v>4265.0423</x:v>
      </x:c>
    </x:row>
    <x:row r="446">
      <x:c r="A446" s="78" t="n">
        <x:v>2021</x:v>
      </x:c>
      <x:c r="B446" s="79" t="str">
        <x:v>42250</x:v>
      </x:c>
      <x:c r="C446" s="18" t="str">
        <x:v>Grant</x:v>
      </x:c>
      <x:c r="D446" s="18" t="str">
        <x:v>South Australia</x:v>
      </x:c>
      <x:c r="E446" s="80" t="n">
        <x:v>3</x:v>
      </x:c>
      <x:c r="F446" s="80" t="n">
        <x:v>4133</x:v>
      </x:c>
      <x:c r="G446" s="81" t="n">
        <x:f>E446/F446</x:f>
        <x:v>0.0007258649891120251</x:v>
      </x:c>
      <x:c r="H446" s="82" t="n">
        <x:v>140.72474413280344</x:v>
      </x:c>
      <x:c r="I446" s="82" t="n">
        <x:v>-37.846099148251255</x:v>
      </x:c>
      <x:c r="J446" s="83" t="n">
        <x:v>1897.8235</x:v>
      </x:c>
    </x:row>
    <x:row r="447">
      <x:c r="A447" s="78" t="n">
        <x:v>2021</x:v>
      </x:c>
      <x:c r="B447" s="79" t="str">
        <x:v>54340</x:v>
      </x:c>
      <x:c r="C447" s="18" t="str">
        <x:v>Katanning</x:v>
      </x:c>
      <x:c r="D447" s="18" t="str">
        <x:v>Western Australia</x:v>
      </x:c>
      <x:c r="E447" s="80" t="n">
        <x:v>3</x:v>
      </x:c>
      <x:c r="F447" s="80" t="n">
        <x:v>1816</x:v>
      </x:c>
      <x:c r="G447" s="81" t="n">
        <x:f>E447/F447</x:f>
        <x:v>0.0016519823788546256</x:v>
      </x:c>
      <x:c r="H447" s="82" t="n">
        <x:v>117.68421630694338</x:v>
      </x:c>
      <x:c r="I447" s="82" t="n">
        <x:v>-33.6483004441712</x:v>
      </x:c>
      <x:c r="J447" s="83" t="n">
        <x:v>1518.1854</x:v>
      </x:c>
    </x:row>
    <x:row r="448">
      <x:c r="A448" s="78" t="n">
        <x:v>2021</x:v>
      </x:c>
      <x:c r="B448" s="79" t="str">
        <x:v>34420</x:v>
      </x:c>
      <x:c r="C448" s="18" t="str">
        <x:v>Kowanyama</x:v>
      </x:c>
      <x:c r="D448" s="18" t="str">
        <x:v>Queensland</x:v>
      </x:c>
      <x:c r="E448" s="80" t="n">
        <x:v>3</x:v>
      </x:c>
      <x:c r="F448" s="80" t="n">
        <x:v>187</x:v>
      </x:c>
      <x:c r="G448" s="81" t="n">
        <x:f>E448/F448</x:f>
        <x:v>0.016042780748663103</x:v>
      </x:c>
      <x:c r="H448" s="82" t="n">
        <x:v>141.8105635539681</x:v>
      </x:c>
      <x:c r="I448" s="82" t="n">
        <x:v>-15.319527854742304</x:v>
      </x:c>
      <x:c r="J448" s="83" t="n">
        <x:v>2555.3325</x:v>
      </x:c>
    </x:row>
    <x:row r="449">
      <x:c r="A449" s="78" t="n">
        <x:v>2021</x:v>
      </x:c>
      <x:c r="B449" s="79" t="str">
        <x:v>54760</x:v>
      </x:c>
      <x:c r="C449" s="18" t="str">
        <x:v>Kulin</x:v>
      </x:c>
      <x:c r="D449" s="18" t="str">
        <x:v>Western Australia</x:v>
      </x:c>
      <x:c r="E449" s="80" t="n">
        <x:v>3</x:v>
      </x:c>
      <x:c r="F449" s="80" t="n">
        <x:v>404</x:v>
      </x:c>
      <x:c r="G449" s="81" t="n">
        <x:f>E449/F449</x:f>
        <x:v>0.007425742574257425</x:v>
      </x:c>
      <x:c r="H449" s="82" t="n">
        <x:v>118.5761061678918</x:v>
      </x:c>
      <x:c r="I449" s="82" t="n">
        <x:v>-32.71752012373573</x:v>
      </x:c>
      <x:c r="J449" s="83" t="n">
        <x:v>4718.9219</x:v>
      </x:c>
    </x:row>
    <x:row r="450">
      <x:c r="A450" s="78" t="n">
        <x:v>2021</x:v>
      </x:c>
      <x:c r="B450" s="79" t="str">
        <x:v>55040</x:v>
      </x:c>
      <x:c r="C450" s="18" t="str">
        <x:v>Leonora</x:v>
      </x:c>
      <x:c r="D450" s="18" t="str">
        <x:v>Western Australia</x:v>
      </x:c>
      <x:c r="E450" s="80" t="n">
        <x:v>3</x:v>
      </x:c>
      <x:c r="F450" s="80" t="n">
        <x:v>669</x:v>
      </x:c>
      <x:c r="G450" s="81" t="n">
        <x:f>E450/F450</x:f>
        <x:v>0.004484304932735426</x:v>
      </x:c>
      <x:c r="H450" s="82" t="n">
        <x:v>121.14536605176572</x:v>
      </x:c>
      <x:c r="I450" s="82" t="n">
        <x:v>-28.21232792419628</x:v>
      </x:c>
      <x:c r="J450" s="83" t="n">
        <x:v>31915.0562</x:v>
      </x:c>
    </x:row>
    <x:row r="451">
      <x:c r="A451" s="78" t="n">
        <x:v>2021</x:v>
      </x:c>
      <x:c r="B451" s="79" t="str">
        <x:v>14950</x:v>
      </x:c>
      <x:c r="C451" s="18" t="str">
        <x:v>Lockhart</x:v>
      </x:c>
      <x:c r="D451" s="18" t="str">
        <x:v>New South Wales</x:v>
      </x:c>
      <x:c r="E451" s="80" t="n">
        <x:v>3</x:v>
      </x:c>
      <x:c r="F451" s="80" t="n">
        <x:v>1410</x:v>
      </x:c>
      <x:c r="G451" s="81" t="n">
        <x:f>E451/F451</x:f>
        <x:v>0.002127659574468085</x:v>
      </x:c>
      <x:c r="H451" s="82" t="n">
        <x:v>146.7754380432958</x:v>
      </x:c>
      <x:c r="I451" s="82" t="n">
        <x:v>-35.331272978200936</x:v>
      </x:c>
      <x:c r="J451" s="83" t="n">
        <x:v>2895.8049</x:v>
      </x:c>
    </x:row>
    <x:row r="452">
      <x:c r="A452" s="78" t="n">
        <x:v>2021</x:v>
      </x:c>
      <x:c r="B452" s="79" t="str">
        <x:v>43710</x:v>
      </x:c>
      <x:c r="C452" s="18" t="str">
        <x:v>Lower Eyre Peninsula</x:v>
      </x:c>
      <x:c r="D452" s="18" t="str">
        <x:v>South Australia</x:v>
      </x:c>
      <x:c r="E452" s="80" t="n">
        <x:v>3</x:v>
      </x:c>
      <x:c r="F452" s="80" t="n">
        <x:v>2765</x:v>
      </x:c>
      <x:c r="G452" s="81" t="n">
        <x:f>E452/F452</x:f>
        <x:v>0.00108499095840868</x:v>
      </x:c>
      <x:c r="H452" s="82" t="n">
        <x:v>135.59707849744944</x:v>
      </x:c>
      <x:c r="I452" s="82" t="n">
        <x:v>-34.41245689469067</x:v>
      </x:c>
      <x:c r="J452" s="83" t="n">
        <x:v>4721.3922</x:v>
      </x:c>
    </x:row>
    <x:row r="453">
      <x:c r="A453" s="78" t="n">
        <x:v>2021</x:v>
      </x:c>
      <x:c r="B453" s="79" t="str">
        <x:v>35250</x:v>
      </x:c>
      <x:c r="C453" s="18" t="str">
        <x:v>Mornington</x:v>
      </x:c>
      <x:c r="D453" s="18" t="str">
        <x:v>Queensland</x:v>
      </x:c>
      <x:c r="E453" s="80" t="n">
        <x:v>3</x:v>
      </x:c>
      <x:c r="F453" s="80" t="n">
        <x:v>213</x:v>
      </x:c>
      <x:c r="G453" s="81" t="n">
        <x:f>E453/F453</x:f>
        <x:v>0.014084507042253521</x:v>
      </x:c>
      <x:c r="H453" s="82" t="n">
        <x:v>139.40131195757513</x:v>
      </x:c>
      <x:c r="I453" s="82" t="n">
        <x:v>-16.631833261704443</x:v>
      </x:c>
      <x:c r="J453" s="83" t="n">
        <x:v>1247.6932</x:v>
      </x:c>
    </x:row>
    <x:row r="454">
      <x:c r="A454" s="78" t="n">
        <x:v>2021</x:v>
      </x:c>
      <x:c r="B454" s="79" t="str">
        <x:v>56370</x:v>
      </x:c>
      <x:c r="C454" s="18" t="str">
        <x:v>Narembeen</x:v>
      </x:c>
      <x:c r="D454" s="18" t="str">
        <x:v>Western Australia</x:v>
      </x:c>
      <x:c r="E454" s="80" t="n">
        <x:v>3</x:v>
      </x:c>
      <x:c r="F454" s="80" t="n">
        <x:v>362</x:v>
      </x:c>
      <x:c r="G454" s="81" t="n">
        <x:f>E454/F454</x:f>
        <x:v>0.008287292817679558</x:v>
      </x:c>
      <x:c r="H454" s="82" t="n">
        <x:v>118.65384822399866</x:v>
      </x:c>
      <x:c r="I454" s="82" t="n">
        <x:v>-32.047115720633386</x:v>
      </x:c>
      <x:c r="J454" s="83" t="n">
        <x:v>3809.0285</x:v>
      </x:c>
    </x:row>
    <x:row r="455">
      <x:c r="A455" s="78" t="n">
        <x:v>2021</x:v>
      </x:c>
      <x:c r="B455" s="79" t="str">
        <x:v>56460</x:v>
      </x:c>
      <x:c r="C455" s="18" t="str">
        <x:v>Narrogin</x:v>
      </x:c>
      <x:c r="D455" s="18" t="str">
        <x:v>Western Australia</x:v>
      </x:c>
      <x:c r="E455" s="80" t="n">
        <x:v>3</x:v>
      </x:c>
      <x:c r="F455" s="80" t="n">
        <x:v>2119</x:v>
      </x:c>
      <x:c r="G455" s="81" t="n">
        <x:f>E455/F455</x:f>
        <x:v>0.001415762151958471</x:v>
      </x:c>
      <x:c r="H455" s="82" t="n">
        <x:v>117.26224944132848</x:v>
      </x:c>
      <x:c r="I455" s="82" t="n">
        <x:v>-32.99537812088015</x:v>
      </x:c>
      <x:c r="J455" s="83" t="n">
        <x:v>1631.3024</x:v>
      </x:c>
    </x:row>
    <x:row r="456">
      <x:c r="A456" s="78" t="n">
        <x:v>2021</x:v>
      </x:c>
      <x:c r="B456" s="79" t="str">
        <x:v>35780</x:v>
      </x:c>
      <x:c r="C456" s="18" t="str">
        <x:v>Northern Peninsula Area</x:v>
      </x:c>
      <x:c r="D456" s="18" t="str">
        <x:v>Queensland</x:v>
      </x:c>
      <x:c r="E456" s="80" t="n">
        <x:v>3</x:v>
      </x:c>
      <x:c r="F456" s="80" t="n">
        <x:v>837</x:v>
      </x:c>
      <x:c r="G456" s="81" t="n">
        <x:f>E456/F456</x:f>
        <x:v>0.0035842293906810036</x:v>
      </x:c>
      <x:c r="H456" s="82" t="n">
        <x:v>142.31289021500373</x:v>
      </x:c>
      <x:c r="I456" s="82" t="n">
        <x:v>-11.004916188445204</x:v>
      </x:c>
      <x:c r="J456" s="83" t="n">
        <x:v>1052.0676</x:v>
      </x:c>
    </x:row>
    <x:row r="457">
      <x:c r="A457" s="78" t="n">
        <x:v>2021</x:v>
      </x:c>
      <x:c r="B457" s="79" t="str">
        <x:v>16100</x:v>
      </x:c>
      <x:c r="C457" s="18" t="str">
        <x:v>Oberon</x:v>
      </x:c>
      <x:c r="D457" s="18" t="str">
        <x:v>New South Wales</x:v>
      </x:c>
      <x:c r="E457" s="80" t="n">
        <x:v>3</x:v>
      </x:c>
      <x:c r="F457" s="80" t="n">
        <x:v>2452</x:v>
      </x:c>
      <x:c r="G457" s="81" t="n">
        <x:f>E457/F457</x:f>
        <x:v>0.0012234910277324632</x:v>
      </x:c>
      <x:c r="H457" s="82" t="n">
        <x:v>149.81140078508858</x:v>
      </x:c>
      <x:c r="I457" s="82" t="n">
        <x:v>-33.88329141134977</x:v>
      </x:c>
      <x:c r="J457" s="83" t="n">
        <x:v>3625.047</x:v>
      </x:c>
    </x:row>
    <x:row r="458">
      <x:c r="A458" s="78" t="n">
        <x:v>2021</x:v>
      </x:c>
      <x:c r="B458" s="79" t="str">
        <x:v>36300</x:v>
      </x:c>
      <x:c r="C458" s="18" t="str">
        <x:v>Richmond</x:v>
      </x:c>
      <x:c r="D458" s="18" t="str">
        <x:v>Queensland</x:v>
      </x:c>
      <x:c r="E458" s="80" t="n">
        <x:v>3</x:v>
      </x:c>
      <x:c r="F458" s="80" t="n">
        <x:v>410</x:v>
      </x:c>
      <x:c r="G458" s="81" t="n">
        <x:f>E458/F458</x:f>
        <x:v>0.007317073170731708</x:v>
      </x:c>
      <x:c r="H458" s="82" t="n">
        <x:v>142.90105689579613</x:v>
      </x:c>
      <x:c r="I458" s="82" t="n">
        <x:v>-20.54065545631642</x:v>
      </x:c>
      <x:c r="J458" s="83" t="n">
        <x:v>26580.748</x:v>
      </x:c>
    </x:row>
    <x:row r="459">
      <x:c r="A459" s="78" t="n">
        <x:v>2021</x:v>
      </x:c>
      <x:c r="B459" s="79" t="str">
        <x:v>74050</x:v>
      </x:c>
      <x:c r="C459" s="18" t="str">
        <x:v>Tiwi Islands</x:v>
      </x:c>
      <x:c r="D459" s="18" t="str">
        <x:v>Northern Territory</x:v>
      </x:c>
      <x:c r="E459" s="80" t="n">
        <x:v>3</x:v>
      </x:c>
      <x:c r="F459" s="80" t="n">
        <x:v>462</x:v>
      </x:c>
      <x:c r="G459" s="81" t="n">
        <x:f>E459/F459</x:f>
        <x:v>0.006493506493506494</x:v>
      </x:c>
      <x:c r="H459" s="82" t="n">
        <x:v>130.816296139275</x:v>
      </x:c>
      <x:c r="I459" s="82" t="n">
        <x:v>-11.559845460247201</x:v>
      </x:c>
      <x:c r="J459" s="83" t="n">
        <x:v>7483.1661</x:v>
      </x:c>
    </x:row>
    <x:row r="460">
      <x:c r="A460" s="78" t="n">
        <x:v>2021</x:v>
      </x:c>
      <x:c r="B460" s="79" t="str">
        <x:v>47910</x:v>
      </x:c>
      <x:c r="C460" s="18" t="str">
        <x:v>Tumby Bay</x:v>
      </x:c>
      <x:c r="D460" s="18" t="str">
        <x:v>South Australia</x:v>
      </x:c>
      <x:c r="E460" s="80" t="n">
        <x:v>3</x:v>
      </x:c>
      <x:c r="F460" s="80" t="n">
        <x:v>1206</x:v>
      </x:c>
      <x:c r="G460" s="81" t="n">
        <x:f>E460/F460</x:f>
        <x:v>0.0024875621890547263</x:v>
      </x:c>
      <x:c r="H460" s="82" t="n">
        <x:v>136.0196977739144</x:v>
      </x:c>
      <x:c r="I460" s="82" t="n">
        <x:v>-34.17933401615672</x:v>
      </x:c>
      <x:c r="J460" s="83" t="n">
        <x:v>2669.0794</x:v>
      </x:c>
    </x:row>
    <x:row r="461">
      <x:c r="A461" s="78" t="n">
        <x:v>2021</x:v>
      </x:c>
      <x:c r="B461" s="79" t="str">
        <x:v>49399</x:v>
      </x:c>
      <x:c r="C461" s="18" t="str">
        <x:v>Unincorporated SA</x:v>
      </x:c>
      <x:c r="D461" s="18" t="str">
        <x:v>South Australia</x:v>
      </x:c>
      <x:c r="E461" s="80" t="n">
        <x:v>3</x:v>
      </x:c>
      <x:c r="F461" s="80" t="n">
        <x:v>1424</x:v>
      </x:c>
      <x:c r="G461" s="81" t="n">
        <x:f>E461/F461</x:f>
        <x:v>0.002106741573033708</x:v>
      </x:c>
      <x:c r="H461" s="82" t="n">
        <x:v>136.77458197187315</x:v>
      </x:c>
      <x:c r="I461" s="82" t="n">
        <x:v>-29.588040945063494</x:v>
      </x:c>
      <x:c r="J461" s="83" t="n">
        <x:v>619426.0858</x:v>
      </x:c>
    </x:row>
    <x:row r="462">
      <x:c r="A462" s="78" t="n">
        <x:v>2021</x:v>
      </x:c>
      <x:c r="B462" s="79" t="str">
        <x:v>74550</x:v>
      </x:c>
      <x:c r="C462" s="18" t="str">
        <x:v>Victoria Daly</x:v>
      </x:c>
      <x:c r="D462" s="18" t="str">
        <x:v>Northern Territory</x:v>
      </x:c>
      <x:c r="E462" s="80" t="n">
        <x:v>3</x:v>
      </x:c>
      <x:c r="F462" s="80" t="n">
        <x:v>836</x:v>
      </x:c>
      <x:c r="G462" s="81" t="n">
        <x:f>E462/F462</x:f>
        <x:v>0.0035885167464114833</x:v>
      </x:c>
      <x:c r="H462" s="82" t="n">
        <x:v>130.6586237045354</x:v>
      </x:c>
      <x:c r="I462" s="82" t="n">
        <x:v>-16.249598275185207</x:v>
      </x:c>
      <x:c r="J462" s="83" t="n">
        <x:v>153287.3722</x:v>
      </x:c>
    </x:row>
    <x:row r="463">
      <x:c r="A463" s="78" t="n">
        <x:v>2021</x:v>
      </x:c>
      <x:c r="B463" s="79" t="str">
        <x:v>65610</x:v>
      </x:c>
      <x:c r="C463" s="18" t="str">
        <x:v>West Coast</x:v>
      </x:c>
      <x:c r="D463" s="18" t="str">
        <x:v>Tasmania</x:v>
      </x:c>
      <x:c r="E463" s="80" t="n">
        <x:v>3</x:v>
      </x:c>
      <x:c r="F463" s="80" t="n">
        <x:v>1588</x:v>
      </x:c>
      <x:c r="G463" s="81" t="n">
        <x:f>E463/F463</x:f>
        <x:v>0.001889168765743073</x:v>
      </x:c>
      <x:c r="H463" s="82" t="n">
        <x:v>145.6373190066978</x:v>
      </x:c>
      <x:c r="I463" s="82" t="n">
        <x:v>-42.29818813642173</x:v>
      </x:c>
      <x:c r="J463" s="83" t="n">
        <x:v>9583.5388</x:v>
      </x:c>
    </x:row>
    <x:row r="464">
      <x:c r="A464" s="78" t="n">
        <x:v>2021</x:v>
      </x:c>
      <x:c r="B464" s="79" t="str">
        <x:v>37600</x:v>
      </x:c>
      <x:c r="C464" s="18" t="str">
        <x:v>Yarrabah</x:v>
      </x:c>
      <x:c r="D464" s="18" t="str">
        <x:v>Queensland</x:v>
      </x:c>
      <x:c r="E464" s="80" t="n">
        <x:v>3</x:v>
      </x:c>
      <x:c r="F464" s="80" t="n">
        <x:v>398</x:v>
      </x:c>
      <x:c r="G464" s="81" t="n">
        <x:f>E464/F464</x:f>
        <x:v>0.007537688442211055</x:v>
      </x:c>
      <x:c r="H464" s="82" t="n">
        <x:v>145.89715954165277</x:v>
      </x:c>
      <x:c r="I464" s="82" t="n">
        <x:v>-16.99453947451282</x:v>
      </x:c>
      <x:c r="J464" s="83" t="n">
        <x:v>158.8381</x:v>
      </x:c>
    </x:row>
    <x:row r="465">
      <x:c r="A465" s="78" t="n">
        <x:v>2021</x:v>
      </x:c>
      <x:c r="B465" s="79" t="str">
        <x:v>59360</x:v>
      </x:c>
      <x:c r="C465" s="18" t="str">
        <x:v>Yilgarn</x:v>
      </x:c>
      <x:c r="D465" s="18" t="str">
        <x:v>Western Australia</x:v>
      </x:c>
      <x:c r="E465" s="80" t="n">
        <x:v>3</x:v>
      </x:c>
      <x:c r="F465" s="80" t="n">
        <x:v>620</x:v>
      </x:c>
      <x:c r="G465" s="81" t="n">
        <x:f>E465/F465</x:f>
        <x:v>0.004838709677419355</x:v>
      </x:c>
      <x:c r="H465" s="82" t="n">
        <x:v>119.34198504877752</x:v>
      </x:c>
      <x:c r="I465" s="82" t="n">
        <x:v>-30.957347973460998</x:v>
      </x:c>
      <x:c r="J465" s="83" t="n">
        <x:v>30428.7648</x:v>
      </x:c>
    </x:row>
    <x:row r="466">
      <x:c r="A466" s="78" t="n">
        <x:v>2021</x:v>
      </x:c>
      <x:c r="B466" s="79" t="str">
        <x:v>40250</x:v>
      </x:c>
      <x:c r="C466" s="18" t="str">
        <x:v>Anangu Pitjantjatjara Yunkunytjatjara</x:v>
      </x:c>
      <x:c r="D466" s="18" t="str">
        <x:v>South Australia</x:v>
      </x:c>
      <x:c r="E466" s="80" t="n">
        <x:v>0</x:v>
      </x:c>
      <x:c r="F466" s="80" t="n">
        <x:v>518</x:v>
      </x:c>
      <x:c r="G466" s="81" t="n">
        <x:f>E466/F466</x:f>
        <x:v>0</x:v>
      </x:c>
      <x:c r="H466" s="82" t="n">
        <x:v>131.20572742769718</x:v>
      </x:c>
      <x:c r="I466" s="82" t="n">
        <x:v>-27.07762024132988</x:v>
      </x:c>
      <x:c r="J466" s="83" t="n">
        <x:v>102348.117</x:v>
      </x:c>
    </x:row>
    <x:row r="467">
      <x:c r="A467" s="78" t="n">
        <x:v>2021</x:v>
      </x:c>
      <x:c r="B467" s="79" t="str">
        <x:v>30450</x:v>
      </x:c>
      <x:c r="C467" s="18" t="str">
        <x:v>Barcoo</x:v>
      </x:c>
      <x:c r="D467" s="18" t="str">
        <x:v>Queensland</x:v>
      </x:c>
      <x:c r="E467" s="80" t="n">
        <x:v>0</x:v>
      </x:c>
      <x:c r="F467" s="80" t="n">
        <x:v>176</x:v>
      </x:c>
      <x:c r="G467" s="81" t="n">
        <x:f>E467/F467</x:f>
        <x:v>0</x:v>
      </x:c>
      <x:c r="H467" s="82" t="n">
        <x:v>142.2674602323852</x:v>
      </x:c>
      <x:c r="I467" s="82" t="n">
        <x:v>-25.131071115285945</x:v>
      </x:c>
      <x:c r="J467" s="83" t="n">
        <x:v>61830.1679</x:v>
      </x:c>
    </x:row>
    <x:row r="468">
      <x:c r="A468" s="78" t="n">
        <x:v>2021</x:v>
      </x:c>
      <x:c r="B468" s="79" t="str">
        <x:v>70540</x:v>
      </x:c>
      <x:c r="C468" s="18" t="str">
        <x:v>Belyuen</x:v>
      </x:c>
      <x:c r="D468" s="18" t="str">
        <x:v>Northern Territory</x:v>
      </x:c>
      <x:c r="E468" s="80" t="n">
        <x:v>0</x:v>
      </x:c>
      <x:c r="F468" s="80" t="n">
        <x:v>17</x:v>
      </x:c>
      <x:c r="G468" s="81" t="n">
        <x:f>E468/F468</x:f>
        <x:v>0</x:v>
      </x:c>
      <x:c r="H468" s="82" t="n">
        <x:v>130.6831805305362</x:v>
      </x:c>
      <x:c r="I468" s="82" t="n">
        <x:v>-12.538184633381807</x:v>
      </x:c>
      <x:c r="J468" s="83" t="n">
        <x:v>41.4054</x:v>
      </x:c>
    </x:row>
    <x:row r="469">
      <x:c r="A469" s="78" t="n">
        <x:v>2021</x:v>
      </x:c>
      <x:c r="B469" s="79" t="str">
        <x:v>30900</x:v>
      </x:c>
      <x:c r="C469" s="18" t="str">
        <x:v>Boulia</x:v>
      </x:c>
      <x:c r="D469" s="18" t="str">
        <x:v>Queensland</x:v>
      </x:c>
      <x:c r="E469" s="80" t="n">
        <x:v>0</x:v>
      </x:c>
      <x:c r="F469" s="80" t="n">
        <x:v>226</x:v>
      </x:c>
      <x:c r="G469" s="81" t="n">
        <x:f>E469/F469</x:f>
        <x:v>0</x:v>
      </x:c>
      <x:c r="H469" s="82" t="n">
        <x:v>139.24643935385924</x:v>
      </x:c>
      <x:c r="I469" s="82" t="n">
        <x:v>-22.48044612458404</x:v>
      </x:c>
      <x:c r="J469" s="83" t="n">
        <x:v>60906.4695</x:v>
      </x:c>
    </x:row>
    <x:row r="470">
      <x:c r="A470" s="78" t="n">
        <x:v>2021</x:v>
      </x:c>
      <x:c r="B470" s="79" t="str">
        <x:v>11150</x:v>
      </x:c>
      <x:c r="C470" s="18" t="str">
        <x:v>Bourke</x:v>
      </x:c>
      <x:c r="D470" s="18" t="str">
        <x:v>New South Wales</x:v>
      </x:c>
      <x:c r="E470" s="80" t="n">
        <x:v>0</x:v>
      </x:c>
      <x:c r="F470" s="80" t="n">
        <x:v>992</x:v>
      </x:c>
      <x:c r="G470" s="81" t="n">
        <x:f>E470/F470</x:f>
        <x:v>0</x:v>
      </x:c>
      <x:c r="H470" s="82" t="n">
        <x:v>145.35680626478583</x:v>
      </x:c>
      <x:c r="I470" s="82" t="n">
        <x:v>-29.910593810989404</x:v>
      </x:c>
      <x:c r="J470" s="83" t="n">
        <x:v>41598.3722</x:v>
      </x:c>
    </x:row>
    <x:row r="471">
      <x:c r="A471" s="78" t="n">
        <x:v>2021</x:v>
      </x:c>
      <x:c r="B471" s="79" t="str">
        <x:v>50770</x:v>
      </x:c>
      <x:c r="C471" s="18" t="str">
        <x:v>Boyup Brook</x:v>
      </x:c>
      <x:c r="D471" s="18" t="str">
        <x:v>Western Australia</x:v>
      </x:c>
      <x:c r="E471" s="80" t="n">
        <x:v>0</x:v>
      </x:c>
      <x:c r="F471" s="80" t="n">
        <x:v>807</x:v>
      </x:c>
      <x:c r="G471" s="81" t="n">
        <x:f>E471/F471</x:f>
        <x:v>0</x:v>
      </x:c>
      <x:c r="H471" s="82" t="n">
        <x:v>116.52403016206877</x:v>
      </x:c>
      <x:c r="I471" s="82" t="n">
        <x:v>-33.89176767099476</x:v>
      </x:c>
      <x:c r="J471" s="83" t="n">
        <x:v>2826.4585</x:v>
      </x:c>
    </x:row>
    <x:row r="472">
      <x:c r="A472" s="78" t="n">
        <x:v>2021</x:v>
      </x:c>
      <x:c r="B472" s="79" t="str">
        <x:v>11200</x:v>
      </x:c>
      <x:c r="C472" s="18" t="str">
        <x:v>Brewarrina</x:v>
      </x:c>
      <x:c r="D472" s="18" t="str">
        <x:v>New South Wales</x:v>
      </x:c>
      <x:c r="E472" s="80" t="n">
        <x:v>0</x:v>
      </x:c>
      <x:c r="F472" s="80" t="n">
        <x:v>446</x:v>
      </x:c>
      <x:c r="G472" s="81" t="n">
        <x:f>E472/F472</x:f>
        <x:v>0</x:v>
      </x:c>
      <x:c r="H472" s="82" t="n">
        <x:v>146.96087726082615</x:v>
      </x:c>
      <x:c r="I472" s="82" t="n">
        <x:v>-29.791602659540096</x:v>
      </x:c>
      <x:c r="J472" s="83" t="n">
        <x:v>19162.0296</x:v>
      </x:c>
    </x:row>
    <x:row r="473">
      <x:c r="A473" s="78" t="n">
        <x:v>2021</x:v>
      </x:c>
      <x:c r="B473" s="79" t="str">
        <x:v>50840</x:v>
      </x:c>
      <x:c r="C473" s="18" t="str">
        <x:v>Bridgetown-Greenbushes</x:v>
      </x:c>
      <x:c r="D473" s="18" t="str">
        <x:v>Western Australia</x:v>
      </x:c>
      <x:c r="E473" s="80" t="n">
        <x:v>0</x:v>
      </x:c>
      <x:c r="F473" s="80" t="n">
        <x:v>2261</x:v>
      </x:c>
      <x:c r="G473" s="81" t="n">
        <x:f>E473/F473</x:f>
        <x:v>0</x:v>
      </x:c>
      <x:c r="H473" s="82" t="n">
        <x:v>116.19099007511622</x:v>
      </x:c>
      <x:c r="I473" s="82" t="n">
        <x:v>-34.003780951097454</x:v>
      </x:c>
      <x:c r="J473" s="83" t="n">
        <x:v>1337.361</x:v>
      </x:c>
    </x:row>
    <x:row r="474">
      <x:c r="A474" s="78" t="n">
        <x:v>2021</x:v>
      </x:c>
      <x:c r="B474" s="79" t="str">
        <x:v>50910</x:v>
      </x:c>
      <x:c r="C474" s="18" t="str">
        <x:v>Brookton</x:v>
      </x:c>
      <x:c r="D474" s="18" t="str">
        <x:v>Western Australia</x:v>
      </x:c>
      <x:c r="E474" s="80" t="n">
        <x:v>0</x:v>
      </x:c>
      <x:c r="F474" s="80" t="n">
        <x:v>395</x:v>
      </x:c>
      <x:c r="G474" s="81" t="n">
        <x:f>E474/F474</x:f>
        <x:v>0</x:v>
      </x:c>
      <x:c r="H474" s="82" t="n">
        <x:v>117.00308915884719</x:v>
      </x:c>
      <x:c r="I474" s="82" t="n">
        <x:v>-32.36199532461919</x:v>
      </x:c>
      <x:c r="J474" s="83" t="n">
        <x:v>1601.1532</x:v>
      </x:c>
    </x:row>
    <x:row r="475">
      <x:c r="A475" s="78" t="n">
        <x:v>2021</x:v>
      </x:c>
      <x:c r="B475" s="79" t="str">
        <x:v>31950</x:v>
      </x:c>
      <x:c r="C475" s="18" t="str">
        <x:v>Burke</x:v>
      </x:c>
      <x:c r="D475" s="18" t="str">
        <x:v>Queensland</x:v>
      </x:c>
      <x:c r="E475" s="80" t="n">
        <x:v>0</x:v>
      </x:c>
      <x:c r="F475" s="80" t="n">
        <x:v>194</x:v>
      </x:c>
      <x:c r="G475" s="81" t="n">
        <x:f>E475/F475</x:f>
        <x:v>0</x:v>
      </x:c>
      <x:c r="H475" s="82" t="n">
        <x:v>138.94775177899857</x:v>
      </x:c>
      <x:c r="I475" s="82" t="n">
        <x:v>-18.031376927917442</x:v>
      </x:c>
      <x:c r="J475" s="83" t="n">
        <x:v>39681.2234</x:v>
      </x:c>
    </x:row>
    <x:row r="476">
      <x:c r="A476" s="78" t="n">
        <x:v>2021</x:v>
      </x:c>
      <x:c r="B476" s="79" t="str">
        <x:v>11700</x:v>
      </x:c>
      <x:c r="C476" s="18" t="str">
        <x:v>Central Darling</x:v>
      </x:c>
      <x:c r="D476" s="18" t="str">
        <x:v>New South Wales</x:v>
      </x:c>
      <x:c r="E476" s="80" t="n">
        <x:v>0</x:v>
      </x:c>
      <x:c r="F476" s="80" t="n">
        <x:v>510</x:v>
      </x:c>
      <x:c r="G476" s="81" t="n">
        <x:f>E476/F476</x:f>
        <x:v>0</x:v>
      </x:c>
      <x:c r="H476" s="82" t="n">
        <x:v>143.5896916572476</x:v>
      </x:c>
      <x:c r="I476" s="82" t="n">
        <x:v>-31.85069805363454</x:v>
      </x:c>
      <x:c r="J476" s="83" t="n">
        <x:v>53492.193</x:v>
      </x:c>
    </x:row>
    <x:row r="477">
      <x:c r="A477" s="78" t="n">
        <x:v>2021</x:v>
      </x:c>
      <x:c r="B477" s="79" t="str">
        <x:v>61010</x:v>
      </x:c>
      <x:c r="C477" s="18" t="str">
        <x:v>Central Highlands (Tas.)</x:v>
      </x:c>
      <x:c r="D477" s="18" t="str">
        <x:v>Tasmania</x:v>
      </x:c>
      <x:c r="E477" s="80" t="n">
        <x:v>0</x:v>
      </x:c>
      <x:c r="F477" s="80" t="n">
        <x:v>989</x:v>
      </x:c>
      <x:c r="G477" s="81" t="n">
        <x:f>E477/F477</x:f>
        <x:v>0</x:v>
      </x:c>
      <x:c r="H477" s="82" t="n">
        <x:v>146.64605834702502</x:v>
      </x:c>
      <x:c r="I477" s="82" t="n">
        <x:v>-42.21234562015664</x:v>
      </x:c>
      <x:c r="J477" s="83" t="n">
        <x:v>7982.4155</x:v>
      </x:c>
    </x:row>
    <x:row r="478">
      <x:c r="A478" s="78" t="n">
        <x:v>2021</x:v>
      </x:c>
      <x:c r="B478" s="79" t="str">
        <x:v>51610</x:v>
      </x:c>
      <x:c r="C478" s="18" t="str">
        <x:v>Chapman Valley</x:v>
      </x:c>
      <x:c r="D478" s="18" t="str">
        <x:v>Western Australia</x:v>
      </x:c>
      <x:c r="E478" s="80" t="n">
        <x:v>0</x:v>
      </x:c>
      <x:c r="F478" s="80" t="n">
        <x:v>747</x:v>
      </x:c>
      <x:c r="G478" s="81" t="n">
        <x:f>E478/F478</x:f>
        <x:v>0</x:v>
      </x:c>
      <x:c r="H478" s="82" t="n">
        <x:v>115.05912617666854</x:v>
      </x:c>
      <x:c r="I478" s="82" t="n">
        <x:v>-28.322376859674353</x:v>
      </x:c>
      <x:c r="J478" s="83" t="n">
        <x:v>3981.3333</x:v>
      </x:c>
    </x:row>
    <x:row r="479">
      <x:c r="A479" s="78" t="n">
        <x:v>2021</x:v>
      </x:c>
      <x:c r="B479" s="79" t="str">
        <x:v>32330</x:v>
      </x:c>
      <x:c r="C479" s="18" t="str">
        <x:v>Cherbourg</x:v>
      </x:c>
      <x:c r="D479" s="18" t="str">
        <x:v>Queensland</x:v>
      </x:c>
      <x:c r="E479" s="80" t="n">
        <x:v>0</x:v>
      </x:c>
      <x:c r="F479" s="80" t="n">
        <x:v>185</x:v>
      </x:c>
      <x:c r="G479" s="81" t="n">
        <x:f>E479/F479</x:f>
        <x:v>0</x:v>
      </x:c>
      <x:c r="H479" s="82" t="n">
        <x:v>151.9359930514719</x:v>
      </x:c>
      <x:c r="I479" s="82" t="n">
        <x:v>-26.288808548879324</x:v>
      </x:c>
      <x:c r="J479" s="83" t="n">
        <x:v>31.6002</x:v>
      </x:c>
    </x:row>
    <x:row r="480">
      <x:c r="A480" s="78" t="n">
        <x:v>2021</x:v>
      </x:c>
      <x:c r="B480" s="79" t="str">
        <x:v>51710</x:v>
      </x:c>
      <x:c r="C480" s="18" t="str">
        <x:v>Christmas Island</x:v>
      </x:c>
      <x:c r="D480" s="18" t="str">
        <x:v>Other Territories</x:v>
      </x:c>
      <x:c r="E480" s="80" t="n">
        <x:v>0</x:v>
      </x:c>
      <x:c r="F480" s="80" t="n">
        <x:v>771</x:v>
      </x:c>
      <x:c r="G480" s="81" t="n">
        <x:f>E480/F480</x:f>
        <x:v>0</x:v>
      </x:c>
      <x:c r="H480" s="82" t="n">
        <x:v>105.63647065385246</x:v>
      </x:c>
      <x:c r="I480" s="82" t="n">
        <x:v>-10.485355467183904</x:v>
      </x:c>
      <x:c r="J480" s="83" t="n">
        <x:v>136.1356</x:v>
      </x:c>
    </x:row>
    <x:row r="481">
      <x:c r="A481" s="78" t="n">
        <x:v>2021</x:v>
      </x:c>
      <x:c r="B481" s="79" t="str">
        <x:v>41190</x:v>
      </x:c>
      <x:c r="C481" s="18" t="str">
        <x:v>Cleve</x:v>
      </x:c>
      <x:c r="D481" s="18" t="str">
        <x:v>South Australia</x:v>
      </x:c>
      <x:c r="E481" s="80" t="n">
        <x:v>0</x:v>
      </x:c>
      <x:c r="F481" s="80" t="n">
        <x:v>831</x:v>
      </x:c>
      <x:c r="G481" s="81" t="n">
        <x:f>E481/F481</x:f>
        <x:v>0</x:v>
      </x:c>
      <x:c r="H481" s="82" t="n">
        <x:v>136.28475039102003</x:v>
      </x:c>
      <x:c r="I481" s="82" t="n">
        <x:v>-33.65030968321082</x:v>
      </x:c>
      <x:c r="J481" s="83" t="n">
        <x:v>5018.8483</x:v>
      </x:c>
    </x:row>
    <x:row r="482">
      <x:c r="A482" s="78" t="n">
        <x:v>2021</x:v>
      </x:c>
      <x:c r="B482" s="79" t="str">
        <x:v>41330</x:v>
      </x:c>
      <x:c r="C482" s="18" t="str">
        <x:v>Coober Pedy</x:v>
      </x:c>
      <x:c r="D482" s="18" t="str">
        <x:v>South Australia</x:v>
      </x:c>
      <x:c r="E482" s="80" t="n">
        <x:v>0</x:v>
      </x:c>
      <x:c r="F482" s="80" t="n">
        <x:v>528</x:v>
      </x:c>
      <x:c r="G482" s="81" t="n">
        <x:f>E482/F482</x:f>
        <x:v>0</x:v>
      </x:c>
      <x:c r="H482" s="82" t="n">
        <x:v>134.75235292704542</x:v>
      </x:c>
      <x:c r="I482" s="82" t="n">
        <x:v>-29.01585855175119</x:v>
      </x:c>
      <x:c r="J482" s="83" t="n">
        <x:v>77.6795</x:v>
      </x:c>
    </x:row>
    <x:row r="483">
      <x:c r="A483" s="78" t="n">
        <x:v>2021</x:v>
      </x:c>
      <x:c r="B483" s="79" t="str">
        <x:v>12150</x:v>
      </x:c>
      <x:c r="C483" s="18" t="str">
        <x:v>Coonamble</x:v>
      </x:c>
      <x:c r="D483" s="18" t="str">
        <x:v>New South Wales</x:v>
      </x:c>
      <x:c r="E483" s="80" t="n">
        <x:v>0</x:v>
      </x:c>
      <x:c r="F483" s="80" t="n">
        <x:v>1386</x:v>
      </x:c>
      <x:c r="G483" s="81" t="n">
        <x:f>E483/F483</x:f>
        <x:v>0</x:v>
      </x:c>
      <x:c r="H483" s="82" t="n">
        <x:v>148.2916070593299</x:v>
      </x:c>
      <x:c r="I483" s="82" t="n">
        <x:v>-30.87054860913315</x:v>
      </x:c>
      <x:c r="J483" s="83" t="n">
        <x:v>9916.0535</x:v>
      </x:c>
    </x:row>
    <x:row r="484">
      <x:c r="A484" s="78" t="n">
        <x:v>2021</x:v>
      </x:c>
      <x:c r="B484" s="79" t="str">
        <x:v>52030</x:v>
      </x:c>
      <x:c r="C484" s="18" t="str">
        <x:v>Coorow</x:v>
      </x:c>
      <x:c r="D484" s="18" t="str">
        <x:v>Western Australia</x:v>
      </x:c>
      <x:c r="E484" s="80" t="n">
        <x:v>0</x:v>
      </x:c>
      <x:c r="F484" s="80" t="n">
        <x:v>426</x:v>
      </x:c>
      <x:c r="G484" s="81" t="n">
        <x:f>E484/F484</x:f>
        <x:v>0</x:v>
      </x:c>
      <x:c r="H484" s="82" t="n">
        <x:v>115.75921547539693</x:v>
      </x:c>
      <x:c r="I484" s="82" t="n">
        <x:v>-30.02161630430422</x:v>
      </x:c>
      <x:c r="J484" s="83" t="n">
        <x:v>4189.8721</x:v>
      </x:c>
    </x:row>
    <x:row r="485">
      <x:c r="A485" s="78" t="n">
        <x:v>2021</x:v>
      </x:c>
      <x:c r="B485" s="79" t="str">
        <x:v>52240</x:v>
      </x:c>
      <x:c r="C485" s="18" t="str">
        <x:v>Cranbrook</x:v>
      </x:c>
      <x:c r="D485" s="18" t="str">
        <x:v>Western Australia</x:v>
      </x:c>
      <x:c r="E485" s="80" t="n">
        <x:v>0</x:v>
      </x:c>
      <x:c r="F485" s="80" t="n">
        <x:v>525</x:v>
      </x:c>
      <x:c r="G485" s="81" t="n">
        <x:f>E485/F485</x:f>
        <x:v>0</x:v>
      </x:c>
      <x:c r="H485" s="82" t="n">
        <x:v>117.28587270618128</x:v>
      </x:c>
      <x:c r="I485" s="82" t="n">
        <x:v>-34.314818526145366</x:v>
      </x:c>
      <x:c r="J485" s="83" t="n">
        <x:v>3276.0464</x:v>
      </x:c>
    </x:row>
    <x:row r="486">
      <x:c r="A486" s="78" t="n">
        <x:v>2021</x:v>
      </x:c>
      <x:c r="B486" s="79" t="str">
        <x:v>52310</x:v>
      </x:c>
      <x:c r="C486" s="18" t="str">
        <x:v>Cuballing</x:v>
      </x:c>
      <x:c r="D486" s="18" t="str">
        <x:v>Western Australia</x:v>
      </x:c>
      <x:c r="E486" s="80" t="n">
        <x:v>0</x:v>
      </x:c>
      <x:c r="F486" s="80" t="n">
        <x:v>419</x:v>
      </x:c>
      <x:c r="G486" s="81" t="n">
        <x:f>E486/F486</x:f>
        <x:v>0</x:v>
      </x:c>
      <x:c r="H486" s="82" t="n">
        <x:v>117.15917413431593</x:v>
      </x:c>
      <x:c r="I486" s="82" t="n">
        <x:v>-32.735409410945124</x:v>
      </x:c>
      <x:c r="J486" s="83" t="n">
        <x:v>1195.3369</x:v>
      </x:c>
    </x:row>
    <x:row r="487">
      <x:c r="A487" s="78" t="n">
        <x:v>2021</x:v>
      </x:c>
      <x:c r="B487" s="79" t="str">
        <x:v>52380</x:v>
      </x:c>
      <x:c r="C487" s="18" t="str">
        <x:v>Cue</x:v>
      </x:c>
      <x:c r="D487" s="18" t="str">
        <x:v>Western Australia</x:v>
      </x:c>
      <x:c r="E487" s="80" t="n">
        <x:v>0</x:v>
      </x:c>
      <x:c r="F487" s="80" t="n">
        <x:v>111</x:v>
      </x:c>
      <x:c r="G487" s="81" t="n">
        <x:f>E487/F487</x:f>
        <x:v>0</x:v>
      </x:c>
      <x:c r="H487" s="82" t="n">
        <x:v>117.94004080781613</x:v>
      </x:c>
      <x:c r="I487" s="82" t="n">
        <x:v>-27.31082065261481</x:v>
      </x:c>
      <x:c r="J487" s="83" t="n">
        <x:v>13582.1956</x:v>
      </x:c>
    </x:row>
    <x:row r="488">
      <x:c r="A488" s="78" t="n">
        <x:v>2021</x:v>
      </x:c>
      <x:c r="B488" s="79" t="str">
        <x:v>52450</x:v>
      </x:c>
      <x:c r="C488" s="18" t="str">
        <x:v>Cunderdin</x:v>
      </x:c>
      <x:c r="D488" s="18" t="str">
        <x:v>Western Australia</x:v>
      </x:c>
      <x:c r="E488" s="80" t="n">
        <x:v>0</x:v>
      </x:c>
      <x:c r="F488" s="80" t="n">
        <x:v>580</x:v>
      </x:c>
      <x:c r="G488" s="81" t="n">
        <x:f>E488/F488</x:f>
        <x:v>0</x:v>
      </x:c>
      <x:c r="H488" s="82" t="n">
        <x:v>117.15571980962054</x:v>
      </x:c>
      <x:c r="I488" s="82" t="n">
        <x:v>-31.599581434491807</x:v>
      </x:c>
      <x:c r="J488" s="83" t="n">
        <x:v>1862.4457</x:v>
      </x:c>
    </x:row>
    <x:row r="489">
      <x:c r="A489" s="78" t="n">
        <x:v>2021</x:v>
      </x:c>
      <x:c r="B489" s="79" t="str">
        <x:v>32750</x:v>
      </x:c>
      <x:c r="C489" s="18" t="str">
        <x:v>Diamantina</x:v>
      </x:c>
      <x:c r="D489" s="18" t="str">
        <x:v>Queensland</x:v>
      </x:c>
      <x:c r="E489" s="80" t="n">
        <x:v>0</x:v>
      </x:c>
      <x:c r="F489" s="80" t="n">
        <x:v>154</x:v>
      </x:c>
      <x:c r="G489" s="81" t="n">
        <x:f>E489/F489</x:f>
        <x:v>0</x:v>
      </x:c>
      <x:c r="H489" s="82" t="n">
        <x:v>139.73198187930998</x:v>
      </x:c>
      <x:c r="I489" s="82" t="n">
        <x:v>-24.630261986203564</x:v>
      </x:c>
      <x:c r="J489" s="83" t="n">
        <x:v>94722.429</x:v>
      </x:c>
    </x:row>
    <x:row r="490">
      <x:c r="A490" s="78" t="n">
        <x:v>2021</x:v>
      </x:c>
      <x:c r="B490" s="79" t="str">
        <x:v>32770</x:v>
      </x:c>
      <x:c r="C490" s="18" t="str">
        <x:v>Doomadgee</x:v>
      </x:c>
      <x:c r="D490" s="18" t="str">
        <x:v>Queensland</x:v>
      </x:c>
      <x:c r="E490" s="80" t="n">
        <x:v>0</x:v>
      </x:c>
      <x:c r="F490" s="80" t="n">
        <x:v>234</x:v>
      </x:c>
      <x:c r="G490" s="81" t="n">
        <x:f>E490/F490</x:f>
        <x:v>0</x:v>
      </x:c>
      <x:c r="H490" s="82" t="n">
        <x:v>138.7809532262541</x:v>
      </x:c>
      <x:c r="I490" s="82" t="n">
        <x:v>-17.59652869762279</x:v>
      </x:c>
      <x:c r="J490" s="83" t="n">
        <x:v>1827.6518</x:v>
      </x:c>
    </x:row>
    <x:row r="491">
      <x:c r="A491" s="78" t="n">
        <x:v>2021</x:v>
      </x:c>
      <x:c r="B491" s="79" t="str">
        <x:v>52940</x:v>
      </x:c>
      <x:c r="C491" s="18" t="str">
        <x:v>Dowerin</x:v>
      </x:c>
      <x:c r="D491" s="18" t="str">
        <x:v>Western Australia</x:v>
      </x:c>
      <x:c r="E491" s="80" t="n">
        <x:v>0</x:v>
      </x:c>
      <x:c r="F491" s="80" t="n">
        <x:v>318</x:v>
      </x:c>
      <x:c r="G491" s="81" t="n">
        <x:f>E491/F491</x:f>
        <x:v>0</x:v>
      </x:c>
      <x:c r="H491" s="82" t="n">
        <x:v>117.11126816862912</x:v>
      </x:c>
      <x:c r="I491" s="82" t="n">
        <x:v>-31.10765634927139</x:v>
      </x:c>
      <x:c r="J491" s="83" t="n">
        <x:v>1863.0851</x:v>
      </x:c>
    </x:row>
    <x:row r="492">
      <x:c r="A492" s="78" t="n">
        <x:v>2021</x:v>
      </x:c>
      <x:c r="B492" s="79" t="str">
        <x:v>41750</x:v>
      </x:c>
      <x:c r="C492" s="18" t="str">
        <x:v>Elliston</x:v>
      </x:c>
      <x:c r="D492" s="18" t="str">
        <x:v>South Australia</x:v>
      </x:c>
      <x:c r="E492" s="80" t="n">
        <x:v>0</x:v>
      </x:c>
      <x:c r="F492" s="80" t="n">
        <x:v>451</x:v>
      </x:c>
      <x:c r="G492" s="81" t="n">
        <x:f>E492/F492</x:f>
        <x:v>0</x:v>
      </x:c>
      <x:c r="H492" s="82" t="n">
        <x:v>135.3446073632829</x:v>
      </x:c>
      <x:c r="I492" s="82" t="n">
        <x:v>-33.561553154787816</x:v>
      </x:c>
      <x:c r="J492" s="83" t="n">
        <x:v>6741.9317</x:v>
      </x:c>
    </x:row>
    <x:row r="493">
      <x:c r="A493" s="78" t="n">
        <x:v>2021</x:v>
      </x:c>
      <x:c r="B493" s="79" t="str">
        <x:v>33100</x:v>
      </x:c>
      <x:c r="C493" s="18" t="str">
        <x:v>Etheridge</x:v>
      </x:c>
      <x:c r="D493" s="18" t="str">
        <x:v>Queensland</x:v>
      </x:c>
      <x:c r="E493" s="80" t="n">
        <x:v>0</x:v>
      </x:c>
      <x:c r="F493" s="80" t="n">
        <x:v>353</x:v>
      </x:c>
      <x:c r="G493" s="81" t="n">
        <x:f>E493/F493</x:f>
        <x:v>0</x:v>
      </x:c>
      <x:c r="H493" s="82" t="n">
        <x:v>143.66040512299816</x:v>
      </x:c>
      <x:c r="I493" s="82" t="n">
        <x:v>-18.50462097688681</x:v>
      </x:c>
      <x:c r="J493" s="83" t="n">
        <x:v>39199.2956</x:v>
      </x:c>
    </x:row>
    <x:row r="494">
      <x:c r="A494" s="78" t="n">
        <x:v>2021</x:v>
      </x:c>
      <x:c r="B494" s="79" t="str">
        <x:v>62010</x:v>
      </x:c>
      <x:c r="C494" s="18" t="str">
        <x:v>Flinders (Tas.)</x:v>
      </x:c>
      <x:c r="D494" s="18" t="str">
        <x:v>Tasmania</x:v>
      </x:c>
      <x:c r="E494" s="80" t="n">
        <x:v>0</x:v>
      </x:c>
      <x:c r="F494" s="80" t="n">
        <x:v>453</x:v>
      </x:c>
      <x:c r="G494" s="81" t="n">
        <x:f>E494/F494</x:f>
        <x:v>0</x:v>
      </x:c>
      <x:c r="H494" s="82" t="n">
        <x:v>148.09784893839546</x:v>
      </x:c>
      <x:c r="I494" s="82" t="n">
        <x:v>-40.11936708952423</x:v>
      </x:c>
      <x:c r="J494" s="83" t="n">
        <x:v>1996.6244</x:v>
      </x:c>
    </x:row>
    <x:row r="495">
      <x:c r="A495" s="78" t="n">
        <x:v>2021</x:v>
      </x:c>
      <x:c r="B495" s="79" t="str">
        <x:v>53710</x:v>
      </x:c>
      <x:c r="C495" s="18" t="str">
        <x:v>Goomalling</x:v>
      </x:c>
      <x:c r="D495" s="18" t="str">
        <x:v>Western Australia</x:v>
      </x:c>
      <x:c r="E495" s="80" t="n">
        <x:v>0</x:v>
      </x:c>
      <x:c r="F495" s="80" t="n">
        <x:v>440</x:v>
      </x:c>
      <x:c r="G495" s="81" t="n">
        <x:f>E495/F495</x:f>
        <x:v>0</x:v>
      </x:c>
      <x:c r="H495" s="82" t="n">
        <x:v>116.78474777195368</x:v>
      </x:c>
      <x:c r="I495" s="82" t="n">
        <x:v>-31.242840993293495</x:v>
      </x:c>
      <x:c r="J495" s="83" t="n">
        <x:v>1835.4294</x:v>
      </x:c>
    </x:row>
    <x:row r="496">
      <x:c r="A496" s="78" t="n">
        <x:v>2021</x:v>
      </x:c>
      <x:c r="B496" s="79" t="str">
        <x:v>53920</x:v>
      </x:c>
      <x:c r="C496" s="18" t="str">
        <x:v>Halls Creek</x:v>
      </x:c>
      <x:c r="D496" s="18" t="str">
        <x:v>Western Australia</x:v>
      </x:c>
      <x:c r="E496" s="80" t="n">
        <x:v>0</x:v>
      </x:c>
      <x:c r="F496" s="80" t="n">
        <x:v>786</x:v>
      </x:c>
      <x:c r="G496" s="81" t="n">
        <x:f>E496/F496</x:f>
        <x:v>0</x:v>
      </x:c>
      <x:c r="H496" s="82" t="n">
        <x:v>127.61679548451198</x:v>
      </x:c>
      <x:c r="I496" s="82" t="n">
        <x:v>-19.258111296561424</x:v>
      </x:c>
      <x:c r="J496" s="83" t="n">
        <x:v>133045.9733</x:v>
      </x:c>
    </x:row>
    <x:row r="497">
      <x:c r="A497" s="78" t="n">
        <x:v>2021</x:v>
      </x:c>
      <x:c r="B497" s="79" t="str">
        <x:v>33830</x:v>
      </x:c>
      <x:c r="C497" s="18" t="str">
        <x:v>Hope Vale</x:v>
      </x:c>
      <x:c r="D497" s="18" t="str">
        <x:v>Queensland</x:v>
      </x:c>
      <x:c r="E497" s="80" t="n">
        <x:v>0</x:v>
      </x:c>
      <x:c r="F497" s="80" t="n">
        <x:v>227</x:v>
      </x:c>
      <x:c r="G497" s="81" t="n">
        <x:f>E497/F497</x:f>
        <x:v>0</x:v>
      </x:c>
      <x:c r="H497" s="82" t="n">
        <x:v>145.19156643095576</x:v>
      </x:c>
      <x:c r="I497" s="82" t="n">
        <x:v>-15.1677503949404</x:v>
      </x:c>
      <x:c r="J497" s="83" t="n">
        <x:v>1111.7099</x:v>
      </x:c>
    </x:row>
    <x:row r="498">
      <x:c r="A498" s="78" t="n">
        <x:v>2021</x:v>
      </x:c>
      <x:c r="B498" s="79" t="str">
        <x:v>54130</x:v>
      </x:c>
      <x:c r="C498" s="18" t="str">
        <x:v>Jerramungup</x:v>
      </x:c>
      <x:c r="D498" s="18" t="str">
        <x:v>Western Australia</x:v>
      </x:c>
      <x:c r="E498" s="80" t="n">
        <x:v>0</x:v>
      </x:c>
      <x:c r="F498" s="80" t="n">
        <x:v>589</x:v>
      </x:c>
      <x:c r="G498" s="81" t="n">
        <x:f>E498/F498</x:f>
        <x:v>0</x:v>
      </x:c>
      <x:c r="H498" s="82" t="n">
        <x:v>119.1011783980244</x:v>
      </x:c>
      <x:c r="I498" s="82" t="n">
        <x:v>-34.07059611866099</x:v>
      </x:c>
      <x:c r="J498" s="83" t="n">
        <x:v>6511.1803</x:v>
      </x:c>
    </x:row>
    <x:row r="499">
      <x:c r="A499" s="78" t="n">
        <x:v>2021</x:v>
      </x:c>
      <x:c r="B499" s="79" t="str">
        <x:v>14300</x:v>
      </x:c>
      <x:c r="C499" s="18" t="str">
        <x:v>Junee</x:v>
      </x:c>
      <x:c r="D499" s="18" t="str">
        <x:v>New South Wales</x:v>
      </x:c>
      <x:c r="E499" s="80" t="n">
        <x:v>0</x:v>
      </x:c>
      <x:c r="F499" s="80" t="n">
        <x:v>2514</x:v>
      </x:c>
      <x:c r="G499" s="81" t="n">
        <x:f>E499/F499</x:f>
        <x:v>0</x:v>
      </x:c>
      <x:c r="H499" s="82" t="n">
        <x:v>147.6688766548379</x:v>
      </x:c>
      <x:c r="I499" s="82" t="n">
        <x:v>-34.81720674463991</x:v>
      </x:c>
      <x:c r="J499" s="83" t="n">
        <x:v>2030.0222</x:v>
      </x:c>
    </x:row>
    <x:row r="500">
      <x:c r="A500" s="78" t="n">
        <x:v>2021</x:v>
      </x:c>
      <x:c r="B500" s="79" t="str">
        <x:v>43080</x:v>
      </x:c>
      <x:c r="C500" s="18" t="str">
        <x:v>Karoonda East Murray</x:v>
      </x:c>
      <x:c r="D500" s="18" t="str">
        <x:v>South Australia</x:v>
      </x:c>
      <x:c r="E500" s="80" t="n">
        <x:v>0</x:v>
      </x:c>
      <x:c r="F500" s="80" t="n">
        <x:v>430</x:v>
      </x:c>
      <x:c r="G500" s="81" t="n">
        <x:f>E500/F500</x:f>
        <x:v>0</x:v>
      </x:c>
      <x:c r="H500" s="82" t="n">
        <x:v>140.0200949323632</x:v>
      </x:c>
      <x:c r="I500" s="82" t="n">
        <x:v>-34.950504986373694</x:v>
      </x:c>
      <x:c r="J500" s="83" t="n">
        <x:v>4415.796</x:v>
      </x:c>
    </x:row>
    <x:row r="501">
      <x:c r="A501" s="78" t="n">
        <x:v>2021</x:v>
      </x:c>
      <x:c r="B501" s="79" t="str">
        <x:v>54410</x:v>
      </x:c>
      <x:c r="C501" s="18" t="str">
        <x:v>Kellerberrin</x:v>
      </x:c>
      <x:c r="D501" s="18" t="str">
        <x:v>Western Australia</x:v>
      </x:c>
      <x:c r="E501" s="80" t="n">
        <x:v>0</x:v>
      </x:c>
      <x:c r="F501" s="80" t="n">
        <x:v>472</x:v>
      </x:c>
      <x:c r="G501" s="81" t="n">
        <x:f>E501/F501</x:f>
        <x:v>0</x:v>
      </x:c>
      <x:c r="H501" s="82" t="n">
        <x:v>117.81452583323683</x:v>
      </x:c>
      <x:c r="I501" s="82" t="n">
        <x:v>-31.582345844086497</x:v>
      </x:c>
      <x:c r="J501" s="83" t="n">
        <x:v>1915.433</x:v>
      </x:c>
    </x:row>
    <x:row r="502">
      <x:c r="A502" s="78" t="n">
        <x:v>2021</x:v>
      </x:c>
      <x:c r="B502" s="79" t="str">
        <x:v>54480</x:v>
      </x:c>
      <x:c r="C502" s="18" t="str">
        <x:v>Kent</x:v>
      </x:c>
      <x:c r="D502" s="18" t="str">
        <x:v>Western Australia</x:v>
      </x:c>
      <x:c r="E502" s="80" t="n">
        <x:v>0</x:v>
      </x:c>
      <x:c r="F502" s="80" t="n">
        <x:v>258</x:v>
      </x:c>
      <x:c r="G502" s="81" t="n">
        <x:f>E502/F502</x:f>
        <x:v>0</x:v>
      </x:c>
      <x:c r="H502" s="82" t="n">
        <x:v>118.57223551709107</x:v>
      </x:c>
      <x:c r="I502" s="82" t="n">
        <x:v>-33.55082935088546</x:v>
      </x:c>
      <x:c r="J502" s="83" t="n">
        <x:v>5624.5818</x:v>
      </x:c>
    </x:row>
    <x:row r="503">
      <x:c r="A503" s="78" t="n">
        <x:v>2021</x:v>
      </x:c>
      <x:c r="B503" s="79" t="str">
        <x:v>43220</x:v>
      </x:c>
      <x:c r="C503" s="18" t="str">
        <x:v>Kimba</x:v>
      </x:c>
      <x:c r="D503" s="18" t="str">
        <x:v>South Australia</x:v>
      </x:c>
      <x:c r="E503" s="80" t="n">
        <x:v>0</x:v>
      </x:c>
      <x:c r="F503" s="80" t="n">
        <x:v>507</x:v>
      </x:c>
      <x:c r="G503" s="81" t="n">
        <x:f>E503/F503</x:f>
        <x:v>0</x:v>
      </x:c>
      <x:c r="H503" s="82" t="n">
        <x:v>136.143799314843</x:v>
      </x:c>
      <x:c r="I503" s="82" t="n">
        <x:v>-33.0026933200024</x:v>
      </x:c>
      <x:c r="J503" s="83" t="n">
        <x:v>5697.1074</x:v>
      </x:c>
    </x:row>
    <x:row r="504">
      <x:c r="A504" s="78" t="n">
        <x:v>2021</x:v>
      </x:c>
      <x:c r="B504" s="79" t="str">
        <x:v>63410</x:v>
      </x:c>
      <x:c r="C504" s="18" t="str">
        <x:v>King Island</x:v>
      </x:c>
      <x:c r="D504" s="18" t="str">
        <x:v>Tasmania</x:v>
      </x:c>
      <x:c r="E504" s="80" t="n">
        <x:v>0</x:v>
      </x:c>
      <x:c r="F504" s="80" t="n">
        <x:v>838</x:v>
      </x:c>
      <x:c r="G504" s="81" t="n">
        <x:f>E504/F504</x:f>
        <x:v>0</x:v>
      </x:c>
      <x:c r="H504" s="82" t="n">
        <x:v>143.98548010311683</x:v>
      </x:c>
      <x:c r="I504" s="82" t="n">
        <x:v>-39.863813979670454</x:v>
      </x:c>
      <x:c r="J504" s="83" t="n">
        <x:v>1095.7407</x:v>
      </x:c>
    </x:row>
    <x:row r="505">
      <x:c r="A505" s="78" t="n">
        <x:v>2021</x:v>
      </x:c>
      <x:c r="B505" s="79" t="str">
        <x:v>54690</x:v>
      </x:c>
      <x:c r="C505" s="18" t="str">
        <x:v>Koorda</x:v>
      </x:c>
      <x:c r="D505" s="18" t="str">
        <x:v>Western Australia</x:v>
      </x:c>
      <x:c r="E505" s="80" t="n">
        <x:v>0</x:v>
      </x:c>
      <x:c r="F505" s="80" t="n">
        <x:v>193</x:v>
      </x:c>
      <x:c r="G505" s="81" t="n">
        <x:f>E505/F505</x:f>
        <x:v>0</x:v>
      </x:c>
      <x:c r="H505" s="82" t="n">
        <x:v>117.42546142398501</x:v>
      </x:c>
      <x:c r="I505" s="82" t="n">
        <x:v>-30.590491563770506</x:v>
      </x:c>
      <x:c r="J505" s="83" t="n">
        <x:v>2832.313</x:v>
      </x:c>
    </x:row>
    <x:row r="506">
      <x:c r="A506" s="78" t="n">
        <x:v>2021</x:v>
      </x:c>
      <x:c r="B506" s="79" t="str">
        <x:v>34570</x:v>
      </x:c>
      <x:c r="C506" s="18" t="str">
        <x:v>Lockhart River</x:v>
      </x:c>
      <x:c r="D506" s="18" t="str">
        <x:v>Queensland</x:v>
      </x:c>
      <x:c r="E506" s="80" t="n">
        <x:v>0</x:v>
      </x:c>
      <x:c r="F506" s="80" t="n">
        <x:v>168</x:v>
      </x:c>
      <x:c r="G506" s="81" t="n">
        <x:f>E506/F506</x:f>
        <x:v>0</x:v>
      </x:c>
      <x:c r="H506" s="82" t="n">
        <x:v>143.24029138703094</x:v>
      </x:c>
      <x:c r="I506" s="82" t="n">
        <x:v>-13.005341616183108</x:v>
      </x:c>
      <x:c r="J506" s="83" t="n">
        <x:v>3576.6839</x:v>
      </x:c>
    </x:row>
    <x:row r="507">
      <x:c r="A507" s="78" t="n">
        <x:v>2021</x:v>
      </x:c>
      <x:c r="B507" s="79" t="str">
        <x:v>72330</x:v>
      </x:c>
      <x:c r="C507" s="18" t="str">
        <x:v>MacDonnell</x:v>
      </x:c>
      <x:c r="D507" s="18" t="str">
        <x:v>Northern Territory</x:v>
      </x:c>
      <x:c r="E507" s="80" t="n">
        <x:v>0</x:v>
      </x:c>
      <x:c r="F507" s="80" t="n">
        <x:v>1155</x:v>
      </x:c>
      <x:c r="G507" s="81" t="n">
        <x:f>E507/F507</x:f>
        <x:v>0</x:v>
      </x:c>
      <x:c r="H507" s="82" t="n">
        <x:v>133.16154495999155</x:v>
      </x:c>
      <x:c r="I507" s="82" t="n">
        <x:v>-24.637296381053734</x:v>
      </x:c>
      <x:c r="J507" s="83" t="n">
        <x:v>268339.0281</x:v>
      </x:c>
    </x:row>
    <x:row r="508">
      <x:c r="A508" s="78" t="n">
        <x:v>2021</x:v>
      </x:c>
      <x:c r="B508" s="79" t="str">
        <x:v>34830</x:v>
      </x:c>
      <x:c r="C508" s="18" t="str">
        <x:v>Mapoon</x:v>
      </x:c>
      <x:c r="D508" s="18" t="str">
        <x:v>Queensland</x:v>
      </x:c>
      <x:c r="E508" s="80" t="n">
        <x:v>0</x:v>
      </x:c>
      <x:c r="F508" s="80" t="n">
        <x:v>93</x:v>
      </x:c>
      <x:c r="G508" s="81" t="n">
        <x:f>E508/F508</x:f>
        <x:v>0</x:v>
      </x:c>
      <x:c r="H508" s="82" t="n">
        <x:v>141.9197987239594</x:v>
      </x:c>
      <x:c r="I508" s="82" t="n">
        <x:v>-12.14171681414708</x:v>
      </x:c>
      <x:c r="J508" s="83" t="n">
        <x:v>537.2366</x:v>
      </x:c>
    </x:row>
    <x:row r="509">
      <x:c r="A509" s="78" t="n">
        <x:v>2021</x:v>
      </x:c>
      <x:c r="B509" s="79" t="str">
        <x:v>44000</x:v>
      </x:c>
      <x:c r="C509" s="18" t="str">
        <x:v>Maralinga Tjarutja</x:v>
      </x:c>
      <x:c r="D509" s="18" t="str">
        <x:v>South Australia</x:v>
      </x:c>
      <x:c r="E509" s="80" t="n">
        <x:v>0</x:v>
      </x:c>
      <x:c r="F509" s="80" t="n">
        <x:v>27</x:v>
      </x:c>
      <x:c r="G509" s="81" t="n">
        <x:f>E509/F509</x:f>
        <x:v>0</x:v>
      </x:c>
      <x:c r="H509" s="82" t="n">
        <x:v>130.9624650280599</x:v>
      </x:c>
      <x:c r="I509" s="82" t="n">
        <x:v>-29.349841431733136</x:v>
      </x:c>
      <x:c r="J509" s="83" t="n">
        <x:v>105766.3105</x:v>
      </x:c>
    </x:row>
    <x:row r="510">
      <x:c r="A510" s="78" t="n">
        <x:v>2021</x:v>
      </x:c>
      <x:c r="B510" s="79" t="str">
        <x:v>34800</x:v>
      </x:c>
      <x:c r="C510" s="18" t="str">
        <x:v>McKinlay</x:v>
      </x:c>
      <x:c r="D510" s="18" t="str">
        <x:v>Queensland</x:v>
      </x:c>
      <x:c r="E510" s="80" t="n">
        <x:v>0</x:v>
      </x:c>
      <x:c r="F510" s="80" t="n">
        <x:v>461</x:v>
      </x:c>
      <x:c r="G510" s="81" t="n">
        <x:f>E510/F510</x:f>
        <x:v>0</x:v>
      </x:c>
      <x:c r="H510" s="82" t="n">
        <x:v>141.58696429119829</x:v>
      </x:c>
      <x:c r="I510" s="82" t="n">
        <x:v>-20.53399758729462</x:v>
      </x:c>
      <x:c r="J510" s="83" t="n">
        <x:v>40736.7989</x:v>
      </x:c>
    </x:row>
    <x:row r="511">
      <x:c r="A511" s="78" t="n">
        <x:v>2021</x:v>
      </x:c>
      <x:c r="B511" s="79" t="str">
        <x:v>55250</x:v>
      </x:c>
      <x:c r="C511" s="18" t="str">
        <x:v>Meekatharra</x:v>
      </x:c>
      <x:c r="D511" s="18" t="str">
        <x:v>Western Australia</x:v>
      </x:c>
      <x:c r="E511" s="80" t="n">
        <x:v>0</x:v>
      </x:c>
      <x:c r="F511" s="80" t="n">
        <x:v>483</x:v>
      </x:c>
      <x:c r="G511" s="81" t="n">
        <x:f>E511/F511</x:f>
        <x:v>0</x:v>
      </x:c>
      <x:c r="H511" s="82" t="n">
        <x:v>118.86401273607373</x:v>
      </x:c>
      <x:c r="I511" s="82" t="n">
        <x:v>-25.140110362210763</x:v>
      </x:c>
      <x:c r="J511" s="83" t="n">
        <x:v>100188.5478</x:v>
      </x:c>
    </x:row>
    <x:row r="512">
      <x:c r="A512" s="78" t="n">
        <x:v>2021</x:v>
      </x:c>
      <x:c r="B512" s="79" t="str">
        <x:v>55390</x:v>
      </x:c>
      <x:c r="C512" s="18" t="str">
        <x:v>Menzies</x:v>
      </x:c>
      <x:c r="D512" s="18" t="str">
        <x:v>Western Australia</x:v>
      </x:c>
      <x:c r="E512" s="80" t="n">
        <x:v>0</x:v>
      </x:c>
      <x:c r="F512" s="80" t="n">
        <x:v>247</x:v>
      </x:c>
      <x:c r="G512" s="81" t="n">
        <x:f>E512/F512</x:f>
        <x:v>0</x:v>
      </x:c>
      <x:c r="H512" s="82" t="n">
        <x:v>123.97109754724558</x:v>
      </x:c>
      <x:c r="I512" s="82" t="n">
        <x:v>-29.575109167166627</x:v>
      </x:c>
      <x:c r="J512" s="83" t="n">
        <x:v>124115.424</x:v>
      </x:c>
    </x:row>
    <x:row r="513">
      <x:c r="A513" s="78" t="n">
        <x:v>2021</x:v>
      </x:c>
      <x:c r="B513" s="79" t="str">
        <x:v>55530</x:v>
      </x:c>
      <x:c r="C513" s="18" t="str">
        <x:v>Mingenew</x:v>
      </x:c>
      <x:c r="D513" s="18" t="str">
        <x:v>Western Australia</x:v>
      </x:c>
      <x:c r="E513" s="80" t="n">
        <x:v>0</x:v>
      </x:c>
      <x:c r="F513" s="80" t="n">
        <x:v>184</x:v>
      </x:c>
      <x:c r="G513" s="81" t="n">
        <x:f>E513/F513</x:f>
        <x:v>0</x:v>
      </x:c>
      <x:c r="H513" s="82" t="n">
        <x:v>115.4842493506035</x:v>
      </x:c>
      <x:c r="I513" s="82" t="n">
        <x:v>-29.15819915203225</x:v>
      </x:c>
      <x:c r="J513" s="83" t="n">
        <x:v>1934.8857</x:v>
      </x:c>
    </x:row>
    <x:row r="514">
      <x:c r="A514" s="78" t="n">
        <x:v>2021</x:v>
      </x:c>
      <x:c r="B514" s="79" t="str">
        <x:v>55670</x:v>
      </x:c>
      <x:c r="C514" s="18" t="str">
        <x:v>Morawa</x:v>
      </x:c>
      <x:c r="D514" s="18" t="str">
        <x:v>Western Australia</x:v>
      </x:c>
      <x:c r="E514" s="80" t="n">
        <x:v>0</x:v>
      </x:c>
      <x:c r="F514" s="80" t="n">
        <x:v>249</x:v>
      </x:c>
      <x:c r="G514" s="81" t="n">
        <x:f>E514/F514</x:f>
        <x:v>0</x:v>
      </x:c>
      <x:c r="H514" s="82" t="n">
        <x:v>116.01708728801515</x:v>
      </x:c>
      <x:c r="I514" s="82" t="n">
        <x:v>-29.06691948274416</x:v>
      </x:c>
      <x:c r="J514" s="83" t="n">
        <x:v>3510.5929</x:v>
      </x:c>
    </x:row>
    <x:row r="515">
      <x:c r="A515" s="78" t="n">
        <x:v>2021</x:v>
      </x:c>
      <x:c r="B515" s="79" t="str">
        <x:v>55810</x:v>
      </x:c>
      <x:c r="C515" s="18" t="str">
        <x:v>Mount Magnet</x:v>
      </x:c>
      <x:c r="D515" s="18" t="str">
        <x:v>Western Australia</x:v>
      </x:c>
      <x:c r="E515" s="80" t="n">
        <x:v>0</x:v>
      </x:c>
      <x:c r="F515" s="80" t="n">
        <x:v>179</x:v>
      </x:c>
      <x:c r="G515" s="81" t="n">
        <x:f>E515/F515</x:f>
        <x:v>0</x:v>
      </x:c>
      <x:c r="H515" s="82" t="n">
        <x:v>117.97640838696093</x:v>
      </x:c>
      <x:c r="I515" s="82" t="n">
        <x:v>-28.238065601497784</x:v>
      </x:c>
      <x:c r="J515" s="83" t="n">
        <x:v>13858.1182</x:v>
      </x:c>
    </x:row>
    <x:row r="516">
      <x:c r="A516" s="78" t="n">
        <x:v>2021</x:v>
      </x:c>
      <x:c r="B516" s="79" t="str">
        <x:v>55880</x:v>
      </x:c>
      <x:c r="C516" s="18" t="str">
        <x:v>Mount Marshall</x:v>
      </x:c>
      <x:c r="D516" s="18" t="str">
        <x:v>Western Australia</x:v>
      </x:c>
      <x:c r="E516" s="80" t="n">
        <x:v>0</x:v>
      </x:c>
      <x:c r="F516" s="80" t="n">
        <x:v>249</x:v>
      </x:c>
      <x:c r="G516" s="81" t="n">
        <x:f>E516/F516</x:f>
        <x:v>0</x:v>
      </x:c>
      <x:c r="H516" s="82" t="n">
        <x:v>117.96217771436262</x:v>
      </x:c>
      <x:c r="I516" s="82" t="n">
        <x:v>-30.18376615692622</x:v>
      </x:c>
      <x:c r="J516" s="83" t="n">
        <x:v>10184.5937</x:v>
      </x:c>
    </x:row>
    <x:row r="517">
      <x:c r="A517" s="78" t="n">
        <x:v>2021</x:v>
      </x:c>
      <x:c r="B517" s="79" t="str">
        <x:v>56160</x:v>
      </x:c>
      <x:c r="C517" s="18" t="str">
        <x:v>Murchison</x:v>
      </x:c>
      <x:c r="D517" s="18" t="str">
        <x:v>Western Australia</x:v>
      </x:c>
      <x:c r="E517" s="80" t="n">
        <x:v>0</x:v>
      </x:c>
      <x:c r="F517" s="80" t="n">
        <x:v>40</x:v>
      </x:c>
      <x:c r="G517" s="81" t="n">
        <x:f>E517/F517</x:f>
        <x:v>0</x:v>
      </x:c>
      <x:c r="H517" s="82" t="n">
        <x:v>116.29975403685658</x:v>
      </x:c>
      <x:c r="I517" s="82" t="n">
        <x:v>-26.75184647182598</x:v>
      </x:c>
      <x:c r="J517" s="83" t="n">
        <x:v>45046.0922</x:v>
      </x:c>
    </x:row>
    <x:row r="518">
      <x:c r="A518" s="78" t="n">
        <x:v>2021</x:v>
      </x:c>
      <x:c r="B518" s="79" t="str">
        <x:v>35670</x:v>
      </x:c>
      <x:c r="C518" s="18" t="str">
        <x:v>Napranum</x:v>
      </x:c>
      <x:c r="D518" s="18" t="str">
        <x:v>Queensland</x:v>
      </x:c>
      <x:c r="E518" s="80" t="n">
        <x:v>0</x:v>
      </x:c>
      <x:c r="F518" s="80" t="n">
        <x:v>137</x:v>
      </x:c>
      <x:c r="G518" s="81" t="n">
        <x:f>E518/F518</x:f>
        <x:v>0</x:v>
      </x:c>
      <x:c r="H518" s="82" t="n">
        <x:v>142.11243981091383</x:v>
      </x:c>
      <x:c r="I518" s="82" t="n">
        <x:v>-12.515767924989406</x:v>
      </x:c>
      <x:c r="J518" s="83" t="n">
        <x:v>2004.3468</x:v>
      </x:c>
    </x:row>
    <x:row r="519">
      <x:c r="A519" s="78" t="n">
        <x:v>2021</x:v>
      </x:c>
      <x:c r="B519" s="79" t="str">
        <x:v>15800</x:v>
      </x:c>
      <x:c r="C519" s="18" t="str">
        <x:v>Narrandera</x:v>
      </x:c>
      <x:c r="D519" s="18" t="str">
        <x:v>New South Wales</x:v>
      </x:c>
      <x:c r="E519" s="80" t="n">
        <x:v>0</x:v>
      </x:c>
      <x:c r="F519" s="80" t="n">
        <x:v>2334</x:v>
      </x:c>
      <x:c r="G519" s="81" t="n">
        <x:f>E519/F519</x:f>
        <x:v>0</x:v>
      </x:c>
      <x:c r="H519" s="82" t="n">
        <x:v>146.57968217700528</x:v>
      </x:c>
      <x:c r="I519" s="82" t="n">
        <x:v>-34.6112595610154</x:v>
      </x:c>
      <x:c r="J519" s="83" t="n">
        <x:v>4116.3458</x:v>
      </x:c>
    </x:row>
    <x:row r="520">
      <x:c r="A520" s="78" t="n">
        <x:v>2021</x:v>
      </x:c>
      <x:c r="B520" s="79" t="str">
        <x:v>56620</x:v>
      </x:c>
      <x:c r="C520" s="18" t="str">
        <x:v>Ngaanyatjarraku</x:v>
      </x:c>
      <x:c r="D520" s="18" t="str">
        <x:v>Western Australia</x:v>
      </x:c>
      <x:c r="E520" s="80" t="n">
        <x:v>0</x:v>
      </x:c>
      <x:c r="F520" s="80" t="n">
        <x:v>221</x:v>
      </x:c>
      <x:c r="G520" s="81" t="n">
        <x:f>E520/F520</x:f>
        <x:v>0</x:v>
      </x:c>
      <x:c r="H520" s="82" t="n">
        <x:v>126.83528593012203</x:v>
      </x:c>
      <x:c r="I520" s="82" t="n">
        <x:v>-25.094871350559792</x:v>
      </x:c>
      <x:c r="J520" s="83" t="n">
        <x:v>159815.9632</x:v>
      </x:c>
    </x:row>
    <x:row r="521">
      <x:c r="A521" s="78" t="n">
        <x:v>2021</x:v>
      </x:c>
      <x:c r="B521" s="79" t="str">
        <x:v>56860</x:v>
      </x:c>
      <x:c r="C521" s="18" t="str">
        <x:v>Nungarin</x:v>
      </x:c>
      <x:c r="D521" s="18" t="str">
        <x:v>Western Australia</x:v>
      </x:c>
      <x:c r="E521" s="80" t="n">
        <x:v>0</x:v>
      </x:c>
      <x:c r="F521" s="80" t="n">
        <x:v>98</x:v>
      </x:c>
      <x:c r="G521" s="81" t="n">
        <x:f>E521/F521</x:f>
        <x:v>0</x:v>
      </x:c>
      <x:c r="H521" s="82" t="n">
        <x:v>118.20808814227547</x:v>
      </x:c>
      <x:c r="I521" s="82" t="n">
        <x:v>-31.14939384620571</x:v>
      </x:c>
      <x:c r="J521" s="83" t="n">
        <x:v>1166.0245</x:v>
      </x:c>
    </x:row>
    <x:row r="522">
      <x:c r="A522" s="78" t="n">
        <x:v>2021</x:v>
      </x:c>
      <x:c r="B522" s="79" t="str">
        <x:v>45400</x:v>
      </x:c>
      <x:c r="C522" s="18" t="str">
        <x:v>Orroroo Carrieton</x:v>
      </x:c>
      <x:c r="D522" s="18" t="str">
        <x:v>South Australia</x:v>
      </x:c>
      <x:c r="E522" s="80" t="n">
        <x:v>0</x:v>
      </x:c>
      <x:c r="F522" s="80" t="n">
        <x:v>398</x:v>
      </x:c>
      <x:c r="G522" s="81" t="n">
        <x:f>E522/F522</x:f>
        <x:v>0</x:v>
      </x:c>
      <x:c r="H522" s="82" t="n">
        <x:v>138.6393537940999</x:v>
      </x:c>
      <x:c r="I522" s="82" t="n">
        <x:v>-32.52076898867161</x:v>
      </x:c>
      <x:c r="J522" s="83" t="n">
        <x:v>3321.8239</x:v>
      </x:c>
    </x:row>
    <x:row r="523">
      <x:c r="A523" s="78" t="n">
        <x:v>2021</x:v>
      </x:c>
      <x:c r="B523" s="79" t="str">
        <x:v>35790</x:v>
      </x:c>
      <x:c r="C523" s="18" t="str">
        <x:v>Palm Island</x:v>
      </x:c>
      <x:c r="D523" s="18" t="str">
        <x:v>Queensland</x:v>
      </x:c>
      <x:c r="E523" s="80" t="n">
        <x:v>0</x:v>
      </x:c>
      <x:c r="F523" s="80" t="n">
        <x:v>339</x:v>
      </x:c>
      <x:c r="G523" s="81" t="n">
        <x:f>E523/F523</x:f>
        <x:v>0</x:v>
      </x:c>
      <x:c r="H523" s="82" t="n">
        <x:v>146.60025239551402</x:v>
      </x:c>
      <x:c r="I523" s="82" t="n">
        <x:v>-18.731360931102035</x:v>
      </x:c>
      <x:c r="J523" s="83" t="n">
        <x:v>71.9928</x:v>
      </x:c>
    </x:row>
    <x:row r="524">
      <x:c r="A524" s="78" t="n">
        <x:v>2021</x:v>
      </x:c>
      <x:c r="B524" s="79" t="str">
        <x:v>57000</x:v>
      </x:c>
      <x:c r="C524" s="18" t="str">
        <x:v>Perenjori</x:v>
      </x:c>
      <x:c r="D524" s="18" t="str">
        <x:v>Western Australia</x:v>
      </x:c>
      <x:c r="E524" s="80" t="n">
        <x:v>0</x:v>
      </x:c>
      <x:c r="F524" s="80" t="n">
        <x:v>308</x:v>
      </x:c>
      <x:c r="G524" s="81" t="n">
        <x:f>E524/F524</x:f>
        <x:v>0</x:v>
      </x:c>
      <x:c r="H524" s="82" t="n">
        <x:v>116.61141617441454</x:v>
      </x:c>
      <x:c r="I524" s="82" t="n">
        <x:v>-29.4439405967423</x:v>
      </x:c>
      <x:c r="J524" s="83" t="n">
        <x:v>8301.3551</x:v>
      </x:c>
    </x:row>
    <x:row r="525">
      <x:c r="A525" s="78" t="n">
        <x:v>2021</x:v>
      </x:c>
      <x:c r="B525" s="79" t="str">
        <x:v>45540</x:v>
      </x:c>
      <x:c r="C525" s="18" t="str">
        <x:v>Peterborough</x:v>
      </x:c>
      <x:c r="D525" s="18" t="str">
        <x:v>South Australia</x:v>
      </x:c>
      <x:c r="E525" s="80" t="n">
        <x:v>0</x:v>
      </x:c>
      <x:c r="F525" s="80" t="n">
        <x:v>474</x:v>
      </x:c>
      <x:c r="G525" s="81" t="n">
        <x:f>E525/F525</x:f>
        <x:v>0</x:v>
      </x:c>
      <x:c r="H525" s="82" t="n">
        <x:v>139.05964114217963</x:v>
      </x:c>
      <x:c r="I525" s="82" t="n">
        <x:v>-32.864122517244766</x:v>
      </x:c>
      <x:c r="J525" s="83" t="n">
        <x:v>3020.142</x:v>
      </x:c>
    </x:row>
    <x:row r="526">
      <x:c r="A526" s="78" t="n">
        <x:v>2021</x:v>
      </x:c>
      <x:c r="B526" s="79" t="str">
        <x:v>57140</x:v>
      </x:c>
      <x:c r="C526" s="18" t="str">
        <x:v>Pingelly</x:v>
      </x:c>
      <x:c r="D526" s="18" t="str">
        <x:v>Western Australia</x:v>
      </x:c>
      <x:c r="E526" s="80" t="n">
        <x:v>0</x:v>
      </x:c>
      <x:c r="F526" s="80" t="n">
        <x:v>391</x:v>
      </x:c>
      <x:c r="G526" s="81" t="n">
        <x:f>E526/F526</x:f>
        <x:v>0</x:v>
      </x:c>
      <x:c r="H526" s="82" t="n">
        <x:v>117.2220464748109</x:v>
      </x:c>
      <x:c r="I526" s="82" t="n">
        <x:v>-32.51995908824416</x:v>
      </x:c>
      <x:c r="J526" s="83" t="n">
        <x:v>1294.5721</x:v>
      </x:c>
    </x:row>
    <x:row r="527">
      <x:c r="A527" s="78" t="n">
        <x:v>2021</x:v>
      </x:c>
      <x:c r="B527" s="79" t="str">
        <x:v>36070</x:v>
      </x:c>
      <x:c r="C527" s="18" t="str">
        <x:v>Pormpuraaw</x:v>
      </x:c>
      <x:c r="D527" s="18" t="str">
        <x:v>Queensland</x:v>
      </x:c>
      <x:c r="E527" s="80" t="n">
        <x:v>0</x:v>
      </x:c>
      <x:c r="F527" s="80" t="n">
        <x:v>144</x:v>
      </x:c>
      <x:c r="G527" s="81" t="n">
        <x:f>E527/F527</x:f>
        <x:v>0</x:v>
      </x:c>
      <x:c r="H527" s="82" t="n">
        <x:v>141.8073975180161</x:v>
      </x:c>
      <x:c r="I527" s="82" t="n">
        <x:v>-14.71940667871426</x:v>
      </x:c>
      <x:c r="J527" s="83" t="n">
        <x:v>4395.3654</x:v>
      </x:c>
    </x:row>
    <x:row r="528">
      <x:c r="A528" s="78" t="n">
        <x:v>2021</x:v>
      </x:c>
      <x:c r="B528" s="79" t="str">
        <x:v>57350</x:v>
      </x:c>
      <x:c r="C528" s="18" t="str">
        <x:v>Quairading</x:v>
      </x:c>
      <x:c r="D528" s="18" t="str">
        <x:v>Western Australia</x:v>
      </x:c>
      <x:c r="E528" s="80" t="n">
        <x:v>0</x:v>
      </x:c>
      <x:c r="F528" s="80" t="n">
        <x:v>296</x:v>
      </x:c>
      <x:c r="G528" s="81" t="n">
        <x:f>E528/F528</x:f>
        <x:v>0</x:v>
      </x:c>
      <x:c r="H528" s="82" t="n">
        <x:v>117.42343971470594</x:v>
      </x:c>
      <x:c r="I528" s="82" t="n">
        <x:v>-32.00481569658348</x:v>
      </x:c>
      <x:c r="J528" s="83" t="n">
        <x:v>2016.9268</x:v>
      </x:c>
    </x:row>
    <x:row r="529">
      <x:c r="A529" s="78" t="n">
        <x:v>2021</x:v>
      </x:c>
      <x:c r="B529" s="79" t="str">
        <x:v>46860</x:v>
      </x:c>
      <x:c r="C529" s="18" t="str">
        <x:v>Robe</x:v>
      </x:c>
      <x:c r="D529" s="18" t="str">
        <x:v>South Australia</x:v>
      </x:c>
      <x:c r="E529" s="80" t="n">
        <x:v>0</x:v>
      </x:c>
      <x:c r="F529" s="80" t="n">
        <x:v>753</x:v>
      </x:c>
      <x:c r="G529" s="81" t="n">
        <x:f>E529/F529</x:f>
        <x:v>0</x:v>
      </x:c>
      <x:c r="H529" s="82" t="n">
        <x:v>139.97944243546578</x:v>
      </x:c>
      <x:c r="I529" s="82" t="n">
        <x:v>-37.18768420315543</x:v>
      </x:c>
      <x:c r="J529" s="83" t="n">
        <x:v>1091.7162</x:v>
      </x:c>
    </x:row>
    <x:row r="530">
      <x:c r="A530" s="78" t="n">
        <x:v>2021</x:v>
      </x:c>
      <x:c r="B530" s="79" t="str">
        <x:v>65010</x:v>
      </x:c>
      <x:c r="C530" s="18" t="str">
        <x:v>Southern Midlands</x:v>
      </x:c>
      <x:c r="D530" s="18" t="str">
        <x:v>Tasmania</x:v>
      </x:c>
      <x:c r="E530" s="80" t="n">
        <x:v>0</x:v>
      </x:c>
      <x:c r="F530" s="80" t="n">
        <x:v>2994</x:v>
      </x:c>
      <x:c r="G530" s="81" t="n">
        <x:f>E530/F530</x:f>
        <x:v>0</x:v>
      </x:c>
      <x:c r="H530" s="82" t="n">
        <x:v>147.40055076311705</x:v>
      </x:c>
      <x:c r="I530" s="82" t="n">
        <x:v>-42.43456222876631</x:v>
      </x:c>
      <x:c r="J530" s="83" t="n">
        <x:v>2615.4935</x:v>
      </x:c>
    </x:row>
    <x:row r="531">
      <x:c r="A531" s="78" t="n">
        <x:v>2021</x:v>
      </x:c>
      <x:c r="B531" s="79" t="str">
        <x:v>58190</x:v>
      </x:c>
      <x:c r="C531" s="18" t="str">
        <x:v>Tammin</x:v>
      </x:c>
      <x:c r="D531" s="18" t="str">
        <x:v>Western Australia</x:v>
      </x:c>
      <x:c r="E531" s="80" t="n">
        <x:v>0</x:v>
      </x:c>
      <x:c r="F531" s="80" t="n">
        <x:v>161</x:v>
      </x:c>
      <x:c r="G531" s="81" t="n">
        <x:f>E531/F531</x:f>
        <x:v>0</x:v>
      </x:c>
      <x:c r="H531" s="82" t="n">
        <x:v>117.49499086172503</x:v>
      </x:c>
      <x:c r="I531" s="82" t="n">
        <x:v>-31.606676265912917</x:v>
      </x:c>
      <x:c r="J531" s="83" t="n">
        <x:v>1101.692</x:v>
      </x:c>
    </x:row>
    <x:row r="532">
      <x:c r="A532" s="78" t="n">
        <x:v>2021</x:v>
      </x:c>
      <x:c r="B532" s="79" t="str">
        <x:v>58260</x:v>
      </x:c>
      <x:c r="C532" s="18" t="str">
        <x:v>Three Springs</x:v>
      </x:c>
      <x:c r="D532" s="18" t="str">
        <x:v>Western Australia</x:v>
      </x:c>
      <x:c r="E532" s="80" t="n">
        <x:v>0</x:v>
      </x:c>
      <x:c r="F532" s="80" t="n">
        <x:v>242</x:v>
      </x:c>
      <x:c r="G532" s="81" t="n">
        <x:f>E532/F532</x:f>
        <x:v>0</x:v>
      </x:c>
      <x:c r="H532" s="82" t="n">
        <x:v>115.5773157087967</x:v>
      </x:c>
      <x:c r="I532" s="82" t="n">
        <x:v>-29.52576731066859</x:v>
      </x:c>
      <x:c r="J532" s="83" t="n">
        <x:v>2656.6928</x:v>
      </x:c>
    </x:row>
    <x:row r="533">
      <x:c r="A533" s="78" t="n">
        <x:v>2021</x:v>
      </x:c>
      <x:c r="B533" s="79" t="str">
        <x:v>58330</x:v>
      </x:c>
      <x:c r="C533" s="18" t="str">
        <x:v>Toodyay</x:v>
      </x:c>
      <x:c r="D533" s="18" t="str">
        <x:v>Western Australia</x:v>
      </x:c>
      <x:c r="E533" s="80" t="n">
        <x:v>0</x:v>
      </x:c>
      <x:c r="F533" s="80" t="n">
        <x:v>1904</x:v>
      </x:c>
      <x:c r="G533" s="81" t="n">
        <x:f>E533/F533</x:f>
        <x:v>0</x:v>
      </x:c>
      <x:c r="H533" s="82" t="n">
        <x:v>116.3806546692418</x:v>
      </x:c>
      <x:c r="I533" s="82" t="n">
        <x:v>-31.471092706048715</x:v>
      </x:c>
      <x:c r="J533" s="83" t="n">
        <x:v>1691.6485</x:v>
      </x:c>
    </x:row>
    <x:row r="534">
      <x:c r="A534" s="78" t="n">
        <x:v>2021</x:v>
      </x:c>
      <x:c r="B534" s="79" t="str">
        <x:v>58400</x:v>
      </x:c>
      <x:c r="C534" s="18" t="str">
        <x:v>Trayning</x:v>
      </x:c>
      <x:c r="D534" s="18" t="str">
        <x:v>Western Australia</x:v>
      </x:c>
      <x:c r="E534" s="80" t="n">
        <x:v>0</x:v>
      </x:c>
      <x:c r="F534" s="80" t="n">
        <x:v>125</x:v>
      </x:c>
      <x:c r="G534" s="81" t="n">
        <x:f>E534/F534</x:f>
        <x:v>0</x:v>
      </x:c>
      <x:c r="H534" s="82" t="n">
        <x:v>117.80687325405128</x:v>
      </x:c>
      <x:c r="I534" s="82" t="n">
        <x:v>-31.144011762986686</x:v>
      </x:c>
      <x:c r="J534" s="83" t="n">
        <x:v>1651.2043</x:v>
      </x:c>
    </x:row>
    <x:row r="535">
      <x:c r="A535" s="78" t="n">
        <x:v>2021</x:v>
      </x:c>
      <x:c r="B535" s="79" t="str">
        <x:v>29399</x:v>
      </x:c>
      <x:c r="C535" s="18" t="str">
        <x:v>Unincorporated Vic</x:v>
      </x:c>
      <x:c r="D535" s="18" t="str">
        <x:v>Victoria</x:v>
      </x:c>
      <x:c r="E535" s="80" t="n">
        <x:v>0</x:v>
      </x:c>
      <x:c r="F535" s="80" t="n">
        <x:v>530</x:v>
      </x:c>
      <x:c r="G535" s="81" t="n">
        <x:f>E535/F535</x:f>
        <x:v>0</x:v>
      </x:c>
      <x:c r="H535" s="82" t="n">
        <x:v>145.89236300940533</x:v>
      </x:c>
      <x:c r="I535" s="82" t="n">
        <x:v>-37.89937913167095</x:v>
      </x:c>
      <x:c r="J535" s="83" t="n">
        <x:v>283.1903</x:v>
      </x:c>
    </x:row>
    <x:row r="536">
      <x:c r="A536" s="78" t="n">
        <x:v>2021</x:v>
      </x:c>
      <x:c r="B536" s="79" t="str">
        <x:v>58470</x:v>
      </x:c>
      <x:c r="C536" s="18" t="str">
        <x:v>Upper Gascoyne</x:v>
      </x:c>
      <x:c r="D536" s="18" t="str">
        <x:v>Western Australia</x:v>
      </x:c>
      <x:c r="E536" s="80" t="n">
        <x:v>0</x:v>
      </x:c>
      <x:c r="F536" s="80" t="n">
        <x:v>56</x:v>
      </x:c>
      <x:c r="G536" s="81" t="n">
        <x:f>E536/F536</x:f>
        <x:v>0</x:v>
      </x:c>
      <x:c r="H536" s="82" t="n">
        <x:v>116.35511114235779</x:v>
      </x:c>
      <x:c r="I536" s="82" t="n">
        <x:v>-24.72658929368797</x:v>
      </x:c>
      <x:c r="J536" s="83" t="n">
        <x:v>57809.8737</x:v>
      </x:c>
    </x:row>
    <x:row r="537">
      <x:c r="A537" s="78" t="n">
        <x:v>2021</x:v>
      </x:c>
      <x:c r="B537" s="79" t="str">
        <x:v>58540</x:v>
      </x:c>
      <x:c r="C537" s="18" t="str">
        <x:v>Victoria Plains</x:v>
      </x:c>
      <x:c r="D537" s="18" t="str">
        <x:v>Western Australia</x:v>
      </x:c>
      <x:c r="E537" s="80" t="n">
        <x:v>0</x:v>
      </x:c>
      <x:c r="F537" s="80" t="n">
        <x:v>412</x:v>
      </x:c>
      <x:c r="G537" s="81" t="n">
        <x:f>E537/F537</x:f>
        <x:v>0</x:v>
      </x:c>
      <x:c r="H537" s="82" t="n">
        <x:v>116.31959393594639</x:v>
      </x:c>
      <x:c r="I537" s="82" t="n">
        <x:v>-31.014335026454848</x:v>
      </x:c>
      <x:c r="J537" s="83" t="n">
        <x:v>2551.0132</x:v>
      </x:c>
    </x:row>
    <x:row r="538">
      <x:c r="A538" s="78" t="n">
        <x:v>2021</x:v>
      </x:c>
      <x:c r="B538" s="79" t="str">
        <x:v>58610</x:v>
      </x:c>
      <x:c r="C538" s="18" t="str">
        <x:v>Wagin</x:v>
      </x:c>
      <x:c r="D538" s="18" t="str">
        <x:v>Western Australia</x:v>
      </x:c>
      <x:c r="E538" s="80" t="n">
        <x:v>0</x:v>
      </x:c>
      <x:c r="F538" s="80" t="n">
        <x:v>734</x:v>
      </x:c>
      <x:c r="G538" s="81" t="n">
        <x:f>E538/F538</x:f>
        <x:v>0</x:v>
      </x:c>
      <x:c r="H538" s="82" t="n">
        <x:v>117.36992906497261</x:v>
      </x:c>
      <x:c r="I538" s="82" t="n">
        <x:v>-33.27669357365337</x:v>
      </x:c>
      <x:c r="J538" s="83" t="n">
        <x:v>1946.1763</x:v>
      </x:c>
    </x:row>
    <x:row r="539">
      <x:c r="A539" s="78" t="n">
        <x:v>2021</x:v>
      </x:c>
      <x:c r="B539" s="79" t="str">
        <x:v>17850</x:v>
      </x:c>
      <x:c r="C539" s="18" t="str">
        <x:v>Walcha</x:v>
      </x:c>
      <x:c r="D539" s="18" t="str">
        <x:v>New South Wales</x:v>
      </x:c>
      <x:c r="E539" s="80" t="n">
        <x:v>0</x:v>
      </x:c>
      <x:c r="F539" s="80" t="n">
        <x:v>1379</x:v>
      </x:c>
      <x:c r="G539" s="81" t="n">
        <x:f>E539/F539</x:f>
        <x:v>0</x:v>
      </x:c>
      <x:c r="H539" s="82" t="n">
        <x:v>151.78452867582007</x:v>
      </x:c>
      <x:c r="I539" s="82" t="n">
        <x:v>-31.16390199243178</x:v>
      </x:c>
      <x:c r="J539" s="83" t="n">
        <x:v>6261.0243</x:v>
      </x:c>
    </x:row>
    <x:row r="540">
      <x:c r="A540" s="78" t="n">
        <x:v>2021</x:v>
      </x:c>
      <x:c r="B540" s="79" t="str">
        <x:v>58680</x:v>
      </x:c>
      <x:c r="C540" s="18" t="str">
        <x:v>Wandering</x:v>
      </x:c>
      <x:c r="D540" s="18" t="str">
        <x:v>Western Australia</x:v>
      </x:c>
      <x:c r="E540" s="80" t="n">
        <x:v>0</x:v>
      </x:c>
      <x:c r="F540" s="80" t="n">
        <x:v>242</x:v>
      </x:c>
      <x:c r="G540" s="81" t="n">
        <x:f>E540/F540</x:f>
        <x:v>0</x:v>
      </x:c>
      <x:c r="H540" s="82" t="n">
        <x:v>116.5812550840358</x:v>
      </x:c>
      <x:c r="I540" s="82" t="n">
        <x:v>-32.547182780994426</x:v>
      </x:c>
      <x:c r="J540" s="83" t="n">
        <x:v>1903.8645</x:v>
      </x:c>
    </x:row>
    <x:row r="541">
      <x:c r="A541" s="78" t="n">
        <x:v>2021</x:v>
      </x:c>
      <x:c r="B541" s="79" t="str">
        <x:v>58820</x:v>
      </x:c>
      <x:c r="C541" s="18" t="str">
        <x:v>Waroona</x:v>
      </x:c>
      <x:c r="D541" s="18" t="str">
        <x:v>Western Australia</x:v>
      </x:c>
      <x:c r="E541" s="80" t="n">
        <x:v>0</x:v>
      </x:c>
      <x:c r="F541" s="80" t="n">
        <x:v>1750</x:v>
      </x:c>
      <x:c r="G541" s="81" t="n">
        <x:f>E541/F541</x:f>
        <x:v>0</x:v>
      </x:c>
      <x:c r="H541" s="82" t="n">
        <x:v>115.92009528871783</x:v>
      </x:c>
      <x:c r="I541" s="82" t="n">
        <x:v>-32.85795233430244</x:v>
      </x:c>
      <x:c r="J541" s="83" t="n">
        <x:v>832.2285</x:v>
      </x:c>
    </x:row>
    <x:row r="542">
      <x:c r="A542" s="78" t="n">
        <x:v>2021</x:v>
      </x:c>
      <x:c r="B542" s="79" t="str">
        <x:v>17950</x:v>
      </x:c>
      <x:c r="C542" s="18" t="str">
        <x:v>Warren</x:v>
      </x:c>
      <x:c r="D542" s="18" t="str">
        <x:v>New South Wales</x:v>
      </x:c>
      <x:c r="E542" s="80" t="n">
        <x:v>0</x:v>
      </x:c>
      <x:c r="F542" s="80" t="n">
        <x:v>1106</x:v>
      </x:c>
      <x:c r="G542" s="81" t="n">
        <x:f>E542/F542</x:f>
        <x:v>0</x:v>
      </x:c>
      <x:c r="H542" s="82" t="n">
        <x:v>147.67984398538275</x:v>
      </x:c>
      <x:c r="I542" s="82" t="n">
        <x:v>-31.325652824526273</x:v>
      </x:c>
      <x:c r="J542" s="83" t="n">
        <x:v>10753.7672</x:v>
      </x:c>
    </x:row>
    <x:row r="543">
      <x:c r="A543" s="78" t="n">
        <x:v>2021</x:v>
      </x:c>
      <x:c r="B543" s="79" t="str">
        <x:v>58890</x:v>
      </x:c>
      <x:c r="C543" s="18" t="str">
        <x:v>West Arthur</x:v>
      </x:c>
      <x:c r="D543" s="18" t="str">
        <x:v>Western Australia</x:v>
      </x:c>
      <x:c r="E543" s="80" t="n">
        <x:v>0</x:v>
      </x:c>
      <x:c r="F543" s="80" t="n">
        <x:v>378</x:v>
      </x:c>
      <x:c r="G543" s="81" t="n">
        <x:f>E543/F543</x:f>
        <x:v>0</x:v>
      </x:c>
      <x:c r="H543" s="82" t="n">
        <x:v>116.73936719096329</x:v>
      </x:c>
      <x:c r="I543" s="82" t="n">
        <x:v>-33.45713016942152</x:v>
      </x:c>
      <x:c r="J543" s="83" t="n">
        <x:v>2831.8272</x:v>
      </x:c>
    </x:row>
    <x:row r="544">
      <x:c r="A544" s="78" t="n">
        <x:v>2021</x:v>
      </x:c>
      <x:c r="B544" s="79" t="str">
        <x:v>59030</x:v>
      </x:c>
      <x:c r="C544" s="18" t="str">
        <x:v>Westonia</x:v>
      </x:c>
      <x:c r="D544" s="18" t="str">
        <x:v>Western Australia</x:v>
      </x:c>
      <x:c r="E544" s="80" t="n">
        <x:v>0</x:v>
      </x:c>
      <x:c r="F544" s="80" t="n">
        <x:v>115</x:v>
      </x:c>
      <x:c r="G544" s="81" t="n">
        <x:f>E544/F544</x:f>
        <x:v>0</x:v>
      </x:c>
      <x:c r="H544" s="82" t="n">
        <x:v>118.65624701946658</x:v>
      </x:c>
      <x:c r="I544" s="82" t="n">
        <x:v>-30.967576868214586</x:v>
      </x:c>
      <x:c r="J544" s="83" t="n">
        <x:v>3319.4496</x:v>
      </x:c>
    </x:row>
    <x:row r="545">
      <x:c r="A545" s="78" t="n">
        <x:v>2021</x:v>
      </x:c>
      <x:c r="B545" s="79" t="str">
        <x:v>59100</x:v>
      </x:c>
      <x:c r="C545" s="18" t="str">
        <x:v>Wickepin</x:v>
      </x:c>
      <x:c r="D545" s="18" t="str">
        <x:v>Western Australia</x:v>
      </x:c>
      <x:c r="E545" s="80" t="n">
        <x:v>0</x:v>
      </x:c>
      <x:c r="F545" s="80" t="n">
        <x:v>322</x:v>
      </x:c>
      <x:c r="G545" s="81" t="n">
        <x:f>E545/F545</x:f>
        <x:v>0</x:v>
      </x:c>
      <x:c r="H545" s="82" t="n">
        <x:v>117.67176169301973</x:v>
      </x:c>
      <x:c r="I545" s="82" t="n">
        <x:v>-32.80696475967651</x:v>
      </x:c>
      <x:c r="J545" s="83" t="n">
        <x:v>2040.8985</x:v>
      </x:c>
    </x:row>
    <x:row r="546">
      <x:c r="A546" s="78" t="n">
        <x:v>2021</x:v>
      </x:c>
      <x:c r="B546" s="79" t="str">
        <x:v>59250</x:v>
      </x:c>
      <x:c r="C546" s="18" t="str">
        <x:v>Wiluna</x:v>
      </x:c>
      <x:c r="D546" s="18" t="str">
        <x:v>Western Australia</x:v>
      </x:c>
      <x:c r="E546" s="80" t="n">
        <x:v>0</x:v>
      </x:c>
      <x:c r="F546" s="80" t="n">
        <x:v>196</x:v>
      </x:c>
      <x:c r="G546" s="81" t="n">
        <x:f>E546/F546</x:f>
        <x:v>0</x:v>
      </x:c>
      <x:c r="H546" s="82" t="n">
        <x:v>122.24507953310722</x:v>
      </x:c>
      <x:c r="I546" s="82" t="n">
        <x:v>-25.312028196674802</x:v>
      </x:c>
      <x:c r="J546" s="83" t="n">
        <x:v>181297.3382</x:v>
      </x:c>
    </x:row>
    <x:row r="547">
      <x:c r="A547" s="78" t="n">
        <x:v>2021</x:v>
      </x:c>
      <x:c r="B547" s="79" t="str">
        <x:v>59310</x:v>
      </x:c>
      <x:c r="C547" s="18" t="str">
        <x:v>Wongan-Ballidu</x:v>
      </x:c>
      <x:c r="D547" s="18" t="str">
        <x:v>Western Australia</x:v>
      </x:c>
      <x:c r="E547" s="80" t="n">
        <x:v>0</x:v>
      </x:c>
      <x:c r="F547" s="80" t="n">
        <x:v>648</x:v>
      </x:c>
      <x:c r="G547" s="81" t="n">
        <x:f>E547/F547</x:f>
        <x:v>0</x:v>
      </x:c>
      <x:c r="H547" s="82" t="n">
        <x:v>116.8426142157507</x:v>
      </x:c>
      <x:c r="I547" s="82" t="n">
        <x:v>-30.717130778342707</x:v>
      </x:c>
      <x:c r="J547" s="83" t="n">
        <x:v>3365.0675</x:v>
      </x:c>
    </x:row>
    <x:row r="548">
      <x:c r="A548" s="78" t="n">
        <x:v>2021</x:v>
      </x:c>
      <x:c r="B548" s="79" t="str">
        <x:v>59320</x:v>
      </x:c>
      <x:c r="C548" s="18" t="str">
        <x:v>Woodanilling</x:v>
      </x:c>
      <x:c r="D548" s="18" t="str">
        <x:v>Western Australia</x:v>
      </x:c>
      <x:c r="E548" s="80" t="n">
        <x:v>0</x:v>
      </x:c>
      <x:c r="F548" s="80" t="n">
        <x:v>210</x:v>
      </x:c>
      <x:c r="G548" s="81" t="n">
        <x:f>E548/F548</x:f>
        <x:v>0</x:v>
      </x:c>
      <x:c r="H548" s="82" t="n">
        <x:v>117.33806234268802</x:v>
      </x:c>
      <x:c r="I548" s="82" t="n">
        <x:v>-33.533665863238326</x:v>
      </x:c>
      <x:c r="J548" s="83" t="n">
        <x:v>1128.8348</x:v>
      </x:c>
    </x:row>
    <x:row r="549">
      <x:c r="A549" s="78" t="n">
        <x:v>2021</x:v>
      </x:c>
      <x:c r="B549" s="79" t="str">
        <x:v>37550</x:v>
      </x:c>
      <x:c r="C549" s="18" t="str">
        <x:v>Woorabinda</x:v>
      </x:c>
      <x:c r="D549" s="18" t="str">
        <x:v>Queensland</x:v>
      </x:c>
      <x:c r="E549" s="80" t="n">
        <x:v>0</x:v>
      </x:c>
      <x:c r="F549" s="80" t="n">
        <x:v>194</x:v>
      </x:c>
      <x:c r="G549" s="81" t="n">
        <x:f>E549/F549</x:f>
        <x:v>0</x:v>
      </x:c>
      <x:c r="H549" s="82" t="n">
        <x:v>149.5255454855618</x:v>
      </x:c>
      <x:c r="I549" s="82" t="n">
        <x:v>-23.943951416973107</x:v>
      </x:c>
      <x:c r="J549" s="83" t="n">
        <x:v>390.5578</x:v>
      </x:c>
    </x:row>
    <x:row r="550">
      <x:c r="A550" s="78" t="n">
        <x:v>2021</x:v>
      </x:c>
      <x:c r="B550" s="79" t="str">
        <x:v>37570</x:v>
      </x:c>
      <x:c r="C550" s="18" t="str">
        <x:v>Wujal Wujal</x:v>
      </x:c>
      <x:c r="D550" s="18" t="str">
        <x:v>Queensland</x:v>
      </x:c>
      <x:c r="E550" s="80" t="n">
        <x:v>0</x:v>
      </x:c>
      <x:c r="F550" s="80" t="n">
        <x:v>44</x:v>
      </x:c>
      <x:c r="G550" s="81" t="n">
        <x:f>E550/F550</x:f>
        <x:v>0</x:v>
      </x:c>
      <x:c r="H550" s="82" t="n">
        <x:v>145.31319232851695</x:v>
      </x:c>
      <x:c r="I550" s="82" t="n">
        <x:v>-15.968303263317392</x:v>
      </x:c>
      <x:c r="J550" s="83" t="n">
        <x:v>11.842</x:v>
      </x:c>
    </x:row>
    <x:row r="551">
      <x:c r="A551" s="78" t="n">
        <x:v>2021</x:v>
      </x:c>
      <x:c r="B551" s="79" t="str">
        <x:v>59330</x:v>
      </x:c>
      <x:c r="C551" s="18" t="str">
        <x:v>Wyalkatchem</x:v>
      </x:c>
      <x:c r="D551" s="18" t="str">
        <x:v>Western Australia</x:v>
      </x:c>
      <x:c r="E551" s="80" t="n">
        <x:v>0</x:v>
      </x:c>
      <x:c r="F551" s="80" t="n">
        <x:v>208</x:v>
      </x:c>
      <x:c r="G551" s="81" t="n">
        <x:f>E551/F551</x:f>
        <x:v>0</x:v>
      </x:c>
      <x:c r="H551" s="82" t="n">
        <x:v>117.43527703808553</x:v>
      </x:c>
      <x:c r="I551" s="82" t="n">
        <x:v>-31.186689072163055</x:v>
      </x:c>
      <x:c r="J551" s="83" t="n">
        <x:v>1594.4884</x:v>
      </x:c>
    </x:row>
    <x:row r="552">
      <x:c r="A552" s="78" t="n">
        <x:v>2021</x:v>
      </x:c>
      <x:c r="B552" s="79" t="str">
        <x:v>59350</x:v>
      </x:c>
      <x:c r="C552" s="18" t="str">
        <x:v>Yalgoo</x:v>
      </x:c>
      <x:c r="D552" s="18" t="str">
        <x:v>Western Australia</x:v>
      </x:c>
      <x:c r="E552" s="80" t="n">
        <x:v>0</x:v>
      </x:c>
      <x:c r="F552" s="80" t="n">
        <x:v>120</x:v>
      </x:c>
      <x:c r="G552" s="81" t="n">
        <x:f>E552/F552</x:f>
        <x:v>0</x:v>
      </x:c>
      <x:c r="H552" s="82" t="n">
        <x:v>117.05027308614666</x:v>
      </x:c>
      <x:c r="I552" s="82" t="n">
        <x:v>-28.565173081438648</x:v>
      </x:c>
      <x:c r="J552" s="83" t="n">
        <x:v>27949.4641</x:v>
      </x:c>
    </x:row>
    <x:row r="553">
      <x:c r="A553" s="78" t="n">
        <x:v>2021</x:v>
      </x:c>
      <x:c r="B553" s="79" t="str">
        <x:v>59370</x:v>
      </x:c>
      <x:c r="C553" s="18" t="str">
        <x:v>York</x:v>
      </x:c>
      <x:c r="D553" s="18" t="str">
        <x:v>Western Australia</x:v>
      </x:c>
      <x:c r="E553" s="80" t="n">
        <x:v>0</x:v>
      </x:c>
      <x:c r="F553" s="80" t="n">
        <x:v>1408</x:v>
      </x:c>
      <x:c r="G553" s="81" t="n">
        <x:f>E553/F553</x:f>
        <x:v>0</x:v>
      </x:c>
      <x:c r="H553" s="82" t="n">
        <x:v>116.73542792579741</x:v>
      </x:c>
      <x:c r="I553" s="82" t="n">
        <x:v>-31.926379707983095</x:v>
      </x:c>
      <x:c r="J553" s="83" t="n">
        <x:v>2131.5916</x:v>
      </x:c>
    </x:row>
  </x:sheetData>
  <x:conditionalFormatting sqref="G7:G553">
    <x:cfRule type="colorScale" priority="1">
      <x:colorScale>
        <x:cfvo type="min"/>
        <x:cfvo type="percentile" val="50"/>
        <x:cfvo type="max"/>
        <x:color rgb="FFE8F1F8"/>
        <x:color rgb="FF9ECAE1"/>
        <x:color rgb="FF2171B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7a0bcd347549c3"/>
  </x:tableParts>
</x:worksheet>
</file>