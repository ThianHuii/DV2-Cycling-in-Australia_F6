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691e78099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tterfly Data" sheetId="1" r:id="Rd3374a35c1be45e3"/>
    <x:sheet xmlns:r="http://schemas.openxmlformats.org/officeDocument/2006/relationships" name="Long Data" sheetId="2" r:id="Rda1ddbcffc45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-#,##0"/>
  </x:numFmts>
  <x:fonts count="7">
    <x:font>
      <x:sz val="11"/>
      <x:name val="Carlito"/>
    </x:font>
    <x:font>
      <x:b/>
      <x:sz val="15"/>
      <x:color rgb="FF173F35"/>
      <x:name val="Arial"/>
    </x:font>
    <x:font>
      <x:i/>
      <x:sz val="10"/>
      <x:color rgb="FF51635E"/>
      <x:name val="Arial"/>
    </x:font>
    <x:font>
      <x:b/>
      <x:sz val="10"/>
      <x:color rgb="FFFFFFFF"/>
      <x:name val="Arial"/>
    </x:font>
    <x:font>
      <x:sz val="10"/>
      <x:color rgb="FF24322E"/>
      <x:name val="Arial"/>
    </x:font>
    <x:font>
      <x:i/>
      <x:sz val="10"/>
      <x:color rgb="FF173F35"/>
      <x:name val="Arial"/>
    </x:font>
    <x:font>
      <x:sz val="9"/>
      <x:color rgb="FF51635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D9EAF3"/>
      </x:patternFill>
    </x:fill>
    <x:fill>
      <x:patternFill patternType="solid">
        <x:fgColor rgb="FFFBE8D5"/>
      </x:patternFill>
    </x:fill>
    <x:fill>
      <x:patternFill patternType="solid">
        <x:fgColor rgb="FFE8F1EE"/>
      </x:patternFill>
    </x:fill>
  </x:fills>
  <x:borders count="6">
    <x:border/>
    <x:border>
      <x:bottom style="thin">
        <x:color rgb="FF173F3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CD8D4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071d769df4d58" /><Relationship Type="http://schemas.openxmlformats.org/officeDocument/2006/relationships/theme" Target="/xl/theme/theme1.xml" Id="Rb834b6a0c7d24654" /><Relationship Type="http://schemas.openxmlformats.org/officeDocument/2006/relationships/sharedStrings" Target="/xl/sharedStrings.xml" Id="Rc918b2f9cb724e2b" /><Relationship Type="http://schemas.openxmlformats.org/officeDocument/2006/relationships/worksheet" Target="/xl/worksheets/sheet1.xml" Id="Rd3374a35c1be45e3" /><Relationship Type="http://schemas.openxmlformats.org/officeDocument/2006/relationships/worksheet" Target="/xl/worksheets/sheet2.xml" Id="Rda1ddbcffc4548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3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2">
      <x:c r="A2" s="32" t="str">
        <x:v>2021 Bicycle Commuters by Age and Sex</x:v>
      </x:c>
      <x:c r="B2" s="32"/>
      <x:c r="C2" s="32"/>
      <x:c r="D2" s="32"/>
      <x:c r="E2" s="32"/>
      <x:c r="F2" s="32"/>
      <x:c r="G2" s="32"/>
    </x:row>
    <x:row r="3">
      <x:c r="A3" s="33"/>
      <x:c r="B3" s="33"/>
      <x:c r="C3" s="33"/>
      <x:c r="D3" s="33"/>
      <x:c r="E3" s="33"/>
      <x:c r="F3" s="33"/>
      <x:c r="G3" s="33"/>
    </x:row>
    <x:row r="4">
      <x:c r="A4" s="34" t="str">
        <x:v>Australia total, calculated by summing all 2021 state and territory records in ABS W22.</x:v>
      </x:c>
      <x:c r="B4" s="34"/>
      <x:c r="C4" s="34"/>
      <x:c r="D4" s="34"/>
      <x:c r="E4" s="34"/>
      <x:c r="F4" s="34"/>
      <x:c r="G4" s="34"/>
    </x:row>
    <x:row r="5">
      <x:c r="A5" s="35"/>
      <x:c r="B5" s="35"/>
      <x:c r="C5" s="35"/>
      <x:c r="D5" s="35"/>
      <x:c r="E5" s="35"/>
      <x:c r="F5" s="35"/>
      <x:c r="G5" s="35"/>
    </x:row>
    <x:row r="6">
      <x:c r="A6" s="12" t="str">
        <x:v>Year</x:v>
      </x:c>
      <x:c r="B6" s="13" t="str">
        <x:v>Age Group</x:v>
      </x:c>
      <x:c r="C6" s="13" t="str">
        <x:v>Male Count</x:v>
      </x:c>
      <x:c r="D6" s="13" t="str">
        <x:v>Female Count</x:v>
      </x:c>
      <x:c r="E6" s="13" t="str">
        <x:v>Male Plot Value</x:v>
      </x:c>
      <x:c r="F6" s="13" t="str">
        <x:v>Female Plot Value</x:v>
      </x:c>
      <x:c r="G6" s="14" t="str">
        <x:v>Male + Female</x:v>
      </x:c>
    </x:row>
    <x:row r="7">
      <x:c r="A7" s="19" t="n">
        <x:v>2021</x:v>
      </x:c>
      <x:c r="B7" s="17" t="str">
        <x:v>15–24 years</x:v>
      </x:c>
      <x:c r="C7" s="23" t="n">
        <x:v>8291</x:v>
      </x:c>
      <x:c r="D7" s="25" t="n">
        <x:v>2397</x:v>
      </x:c>
      <x:c r="E7" s="21" t="n">
        <x:f>-C7</x:f>
        <x:v>-8291</x:v>
      </x:c>
      <x:c r="F7" s="21" t="n">
        <x:f>D7</x:f>
        <x:v>2397</x:v>
      </x:c>
      <x:c r="G7" s="21" t="n">
        <x:f>C7+D7</x:f>
        <x:v>10688</x:v>
      </x:c>
    </x:row>
    <x:row r="8">
      <x:c r="A8" s="19" t="n">
        <x:v>2021</x:v>
      </x:c>
      <x:c r="B8" s="17" t="str">
        <x:v>25–34 years</x:v>
      </x:c>
      <x:c r="C8" s="23" t="n">
        <x:v>13273</x:v>
      </x:c>
      <x:c r="D8" s="25" t="n">
        <x:v>6322</x:v>
      </x:c>
      <x:c r="E8" s="21" t="n">
        <x:f>-C8</x:f>
        <x:v>-13273</x:v>
      </x:c>
      <x:c r="F8" s="21" t="n">
        <x:f>D8</x:f>
        <x:v>6322</x:v>
      </x:c>
      <x:c r="G8" s="21" t="n">
        <x:f>C8+D8</x:f>
        <x:v>19595</x:v>
      </x:c>
    </x:row>
    <x:row r="9">
      <x:c r="A9" s="19" t="n">
        <x:v>2021</x:v>
      </x:c>
      <x:c r="B9" s="17" t="str">
        <x:v>35–44 years</x:v>
      </x:c>
      <x:c r="C9" s="23" t="n">
        <x:v>12780</x:v>
      </x:c>
      <x:c r="D9" s="25" t="n">
        <x:v>4987</x:v>
      </x:c>
      <x:c r="E9" s="21" t="n">
        <x:f>-C9</x:f>
        <x:v>-12780</x:v>
      </x:c>
      <x:c r="F9" s="21" t="n">
        <x:f>D9</x:f>
        <x:v>4987</x:v>
      </x:c>
      <x:c r="G9" s="21" t="n">
        <x:f>C9+D9</x:f>
        <x:v>17767</x:v>
      </x:c>
    </x:row>
    <x:row r="10">
      <x:c r="A10" s="19" t="n">
        <x:v>2021</x:v>
      </x:c>
      <x:c r="B10" s="17" t="str">
        <x:v>45–54 years</x:v>
      </x:c>
      <x:c r="C10" s="23" t="n">
        <x:v>12632</x:v>
      </x:c>
      <x:c r="D10" s="25" t="n">
        <x:v>4672</x:v>
      </x:c>
      <x:c r="E10" s="21" t="n">
        <x:f>-C10</x:f>
        <x:v>-12632</x:v>
      </x:c>
      <x:c r="F10" s="21" t="n">
        <x:f>D10</x:f>
        <x:v>4672</x:v>
      </x:c>
      <x:c r="G10" s="21" t="n">
        <x:f>C10+D10</x:f>
        <x:v>17304</x:v>
      </x:c>
    </x:row>
    <x:row r="11">
      <x:c r="A11" s="19" t="n">
        <x:v>2021</x:v>
      </x:c>
      <x:c r="B11" s="17" t="str">
        <x:v>55–64 years</x:v>
      </x:c>
      <x:c r="C11" s="23" t="n">
        <x:v>8607</x:v>
      </x:c>
      <x:c r="D11" s="25" t="n">
        <x:v>3038</x:v>
      </x:c>
      <x:c r="E11" s="21" t="n">
        <x:f>-C11</x:f>
        <x:v>-8607</x:v>
      </x:c>
      <x:c r="F11" s="21" t="n">
        <x:f>D11</x:f>
        <x:v>3038</x:v>
      </x:c>
      <x:c r="G11" s="21" t="n">
        <x:f>C11+D11</x:f>
        <x:v>11645</x:v>
      </x:c>
    </x:row>
    <x:row r="12">
      <x:c r="A12" s="19" t="n">
        <x:v>2021</x:v>
      </x:c>
      <x:c r="B12" s="17" t="str">
        <x:v>65–74 years</x:v>
      </x:c>
      <x:c r="C12" s="23" t="n">
        <x:v>1570</x:v>
      </x:c>
      <x:c r="D12" s="25" t="n">
        <x:v>393</x:v>
      </x:c>
      <x:c r="E12" s="21" t="n">
        <x:f>-C12</x:f>
        <x:v>-1570</x:v>
      </x:c>
      <x:c r="F12" s="21" t="n">
        <x:f>D12</x:f>
        <x:v>393</x:v>
      </x:c>
      <x:c r="G12" s="21" t="n">
        <x:f>C12+D12</x:f>
        <x:v>1963</x:v>
      </x:c>
    </x:row>
    <x:row r="13">
      <x:c r="A13" s="20" t="n">
        <x:v>2021</x:v>
      </x:c>
      <x:c r="B13" s="18" t="str">
        <x:v>75 years and over</x:v>
      </x:c>
      <x:c r="C13" s="24" t="n">
        <x:v>93</x:v>
      </x:c>
      <x:c r="D13" s="26" t="n">
        <x:v>17</x:v>
      </x:c>
      <x:c r="E13" s="22" t="n">
        <x:f>-C13</x:f>
        <x:v>-93</x:v>
      </x:c>
      <x:c r="F13" s="22" t="n">
        <x:f>D13</x:f>
        <x:v>17</x:v>
      </x:c>
      <x:c r="G13" s="22" t="n">
        <x:f>C13+D13</x:f>
        <x:v>110</x:v>
      </x:c>
    </x:row>
    <x:row r="14">
      <x:c r="A14" s="35"/>
      <x:c r="B14" s="35"/>
      <x:c r="C14" s="35"/>
      <x:c r="D14" s="35"/>
      <x:c r="E14" s="35"/>
      <x:c r="F14" s="35"/>
      <x:c r="G14" s="35"/>
    </x:row>
    <x:row r="15" ht="36" customHeight="1">
      <x:c r="A15" s="36" t="str">
        <x:v>For a butterfly chart, plot Male Plot Value to the left (negative) and Female Plot Value to the right (positive). Display absolute values in labels/tooltips.</x:v>
      </x:c>
      <x:c r="B15" s="36"/>
      <x:c r="C15" s="36"/>
      <x:c r="D15" s="36"/>
      <x:c r="E15" s="36"/>
      <x:c r="F15" s="36"/>
      <x:c r="G15" s="36"/>
    </x:row>
    <x:row r="16">
      <x:c r="A16" s="35"/>
      <x:c r="B16" s="35"/>
      <x:c r="C16" s="35"/>
      <x:c r="D16" s="35"/>
      <x:c r="E16" s="35"/>
      <x:c r="F16" s="35"/>
      <x:c r="G16" s="35"/>
    </x:row>
    <x:row r="17" ht="34" customHeight="1">
      <x:c r="A17" s="37" t="str">
        <x:v>Source: Australian Bureau of Statistics, 2021 Census Working Population Profile, Table W22, State/Territory DataPack. https://www.abs.gov.au/census/find-census-data/datapacks</x:v>
      </x:c>
      <x:c r="B17" s="37"/>
      <x:c r="C17" s="37"/>
      <x:c r="D17" s="37"/>
      <x:c r="E17" s="37"/>
      <x:c r="F17" s="37"/>
      <x:c r="G17" s="37"/>
    </x:row>
    <x:row r="18" ht="34" customHeight="1">
      <x:c r="A18" s="37" t="str">
        <x:v>Fields: M_M1_Bicycle_[age] and F_M1_Bicycle_[age]. Counts cover employed people who reported bicycle as their one method of travel to work. Small random adjustments protect confidentiality.</x:v>
      </x:c>
      <x:c r="B18" s="37"/>
      <x:c r="C18" s="37"/>
      <x:c r="D18" s="37"/>
      <x:c r="E18" s="37"/>
      <x:c r="F18" s="37"/>
      <x:c r="G18" s="37"/>
    </x:row>
  </x:sheetData>
  <x:mergeCells>
    <x:mergeCell ref="A2:G2"/>
    <x:mergeCell ref="A4:G4"/>
    <x:mergeCell ref="A15:G15"/>
    <x:mergeCell ref="A17:G17"/>
    <x:mergeCell ref="A18:G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12" hidden="0" customWidth="1"/>
    <x:col min="4" max="4" width="18" hidden="0" customWidth="1"/>
    <x:col min="5" max="5" width="18" hidden="0" customWidth="1"/>
  </x:cols>
  <x:sheetData>
    <x:row r="2">
      <x:c r="A2" s="1" t="str">
        <x:v>Vega-Lite Long-Format Data</x:v>
      </x:c>
      <x:c r="B2" s="1"/>
      <x:c r="C2" s="1"/>
      <x:c r="D2" s="1"/>
      <x:c r="E2" s="1"/>
    </x:row>
    <x:row r="3">
      <x:c r="A3" s="2"/>
      <x:c r="B3" s="2"/>
      <x:c r="C3" s="2"/>
      <x:c r="D3" s="2"/>
      <x:c r="E3" s="2"/>
    </x:row>
    <x:row r="5">
      <x:c r="A5" s="12" t="str">
        <x:v>Year</x:v>
      </x:c>
      <x:c r="B5" s="13" t="str">
        <x:v>Age Group</x:v>
      </x:c>
      <x:c r="C5" s="13" t="str">
        <x:v>Sex</x:v>
      </x:c>
      <x:c r="D5" s="13" t="str">
        <x:v>Bicycle Count</x:v>
      </x:c>
      <x:c r="E5" s="14" t="str">
        <x:v>Plot Value</x:v>
      </x:c>
    </x:row>
    <x:row r="6">
      <x:c r="A6" s="19" t="n">
        <x:v>2021</x:v>
      </x:c>
      <x:c r="B6" s="17" t="str">
        <x:v>15–24 years</x:v>
      </x:c>
      <x:c r="C6" s="38" t="str">
        <x:v>Male</x:v>
      </x:c>
      <x:c r="D6" s="23" t="n">
        <x:v>8291</x:v>
      </x:c>
      <x:c r="E6" s="23" t="n">
        <x:v>-8291</x:v>
      </x:c>
    </x:row>
    <x:row r="7">
      <x:c r="A7" s="19" t="n">
        <x:v>2021</x:v>
      </x:c>
      <x:c r="B7" s="17" t="str">
        <x:v>15–24 years</x:v>
      </x:c>
      <x:c r="C7" s="39" t="str">
        <x:v>Female</x:v>
      </x:c>
      <x:c r="D7" s="25" t="n">
        <x:v>2397</x:v>
      </x:c>
      <x:c r="E7" s="25" t="n">
        <x:v>2397</x:v>
      </x:c>
    </x:row>
    <x:row r="8">
      <x:c r="A8" s="19" t="n">
        <x:v>2021</x:v>
      </x:c>
      <x:c r="B8" s="17" t="str">
        <x:v>25–34 years</x:v>
      </x:c>
      <x:c r="C8" s="38" t="str">
        <x:v>Male</x:v>
      </x:c>
      <x:c r="D8" s="23" t="n">
        <x:v>13273</x:v>
      </x:c>
      <x:c r="E8" s="23" t="n">
        <x:v>-13273</x:v>
      </x:c>
    </x:row>
    <x:row r="9">
      <x:c r="A9" s="19" t="n">
        <x:v>2021</x:v>
      </x:c>
      <x:c r="B9" s="17" t="str">
        <x:v>25–34 years</x:v>
      </x:c>
      <x:c r="C9" s="39" t="str">
        <x:v>Female</x:v>
      </x:c>
      <x:c r="D9" s="25" t="n">
        <x:v>6322</x:v>
      </x:c>
      <x:c r="E9" s="25" t="n">
        <x:v>6322</x:v>
      </x:c>
    </x:row>
    <x:row r="10">
      <x:c r="A10" s="19" t="n">
        <x:v>2021</x:v>
      </x:c>
      <x:c r="B10" s="17" t="str">
        <x:v>35–44 years</x:v>
      </x:c>
      <x:c r="C10" s="38" t="str">
        <x:v>Male</x:v>
      </x:c>
      <x:c r="D10" s="23" t="n">
        <x:v>12780</x:v>
      </x:c>
      <x:c r="E10" s="23" t="n">
        <x:v>-12780</x:v>
      </x:c>
    </x:row>
    <x:row r="11">
      <x:c r="A11" s="19" t="n">
        <x:v>2021</x:v>
      </x:c>
      <x:c r="B11" s="17" t="str">
        <x:v>35–44 years</x:v>
      </x:c>
      <x:c r="C11" s="39" t="str">
        <x:v>Female</x:v>
      </x:c>
      <x:c r="D11" s="25" t="n">
        <x:v>4987</x:v>
      </x:c>
      <x:c r="E11" s="25" t="n">
        <x:v>4987</x:v>
      </x:c>
    </x:row>
    <x:row r="12">
      <x:c r="A12" s="19" t="n">
        <x:v>2021</x:v>
      </x:c>
      <x:c r="B12" s="17" t="str">
        <x:v>45–54 years</x:v>
      </x:c>
      <x:c r="C12" s="38" t="str">
        <x:v>Male</x:v>
      </x:c>
      <x:c r="D12" s="23" t="n">
        <x:v>12632</x:v>
      </x:c>
      <x:c r="E12" s="23" t="n">
        <x:v>-12632</x:v>
      </x:c>
    </x:row>
    <x:row r="13">
      <x:c r="A13" s="19" t="n">
        <x:v>2021</x:v>
      </x:c>
      <x:c r="B13" s="17" t="str">
        <x:v>45–54 years</x:v>
      </x:c>
      <x:c r="C13" s="39" t="str">
        <x:v>Female</x:v>
      </x:c>
      <x:c r="D13" s="25" t="n">
        <x:v>4672</x:v>
      </x:c>
      <x:c r="E13" s="25" t="n">
        <x:v>4672</x:v>
      </x:c>
    </x:row>
    <x:row r="14">
      <x:c r="A14" s="19" t="n">
        <x:v>2021</x:v>
      </x:c>
      <x:c r="B14" s="17" t="str">
        <x:v>55–64 years</x:v>
      </x:c>
      <x:c r="C14" s="38" t="str">
        <x:v>Male</x:v>
      </x:c>
      <x:c r="D14" s="23" t="n">
        <x:v>8607</x:v>
      </x:c>
      <x:c r="E14" s="23" t="n">
        <x:v>-8607</x:v>
      </x:c>
    </x:row>
    <x:row r="15">
      <x:c r="A15" s="19" t="n">
        <x:v>2021</x:v>
      </x:c>
      <x:c r="B15" s="17" t="str">
        <x:v>55–64 years</x:v>
      </x:c>
      <x:c r="C15" s="39" t="str">
        <x:v>Female</x:v>
      </x:c>
      <x:c r="D15" s="25" t="n">
        <x:v>3038</x:v>
      </x:c>
      <x:c r="E15" s="25" t="n">
        <x:v>3038</x:v>
      </x:c>
    </x:row>
    <x:row r="16">
      <x:c r="A16" s="19" t="n">
        <x:v>2021</x:v>
      </x:c>
      <x:c r="B16" s="17" t="str">
        <x:v>65–74 years</x:v>
      </x:c>
      <x:c r="C16" s="38" t="str">
        <x:v>Male</x:v>
      </x:c>
      <x:c r="D16" s="23" t="n">
        <x:v>1570</x:v>
      </x:c>
      <x:c r="E16" s="23" t="n">
        <x:v>-1570</x:v>
      </x:c>
    </x:row>
    <x:row r="17">
      <x:c r="A17" s="19" t="n">
        <x:v>2021</x:v>
      </x:c>
      <x:c r="B17" s="17" t="str">
        <x:v>65–74 years</x:v>
      </x:c>
      <x:c r="C17" s="39" t="str">
        <x:v>Female</x:v>
      </x:c>
      <x:c r="D17" s="25" t="n">
        <x:v>393</x:v>
      </x:c>
      <x:c r="E17" s="25" t="n">
        <x:v>393</x:v>
      </x:c>
    </x:row>
    <x:row r="18">
      <x:c r="A18" s="19" t="n">
        <x:v>2021</x:v>
      </x:c>
      <x:c r="B18" s="17" t="str">
        <x:v>75 years and over</x:v>
      </x:c>
      <x:c r="C18" s="38" t="str">
        <x:v>Male</x:v>
      </x:c>
      <x:c r="D18" s="23" t="n">
        <x:v>93</x:v>
      </x:c>
      <x:c r="E18" s="23" t="n">
        <x:v>-93</x:v>
      </x:c>
    </x:row>
    <x:row r="19">
      <x:c r="A19" s="20" t="n">
        <x:v>2021</x:v>
      </x:c>
      <x:c r="B19" s="18" t="str">
        <x:v>75 years and over</x:v>
      </x:c>
      <x:c r="C19" s="40" t="str">
        <x:v>Female</x:v>
      </x:c>
      <x:c r="D19" s="26" t="n">
        <x:v>17</x:v>
      </x:c>
      <x:c r="E19" s="26" t="n">
        <x:v>17</x:v>
      </x:c>
    </x:row>
    <x:row r="21" ht="34" customHeight="1">
      <x:c r="A21" s="29" t="str">
        <x:v>Use Age Group on the y-axis, Plot Value on the x-axis and Sex as colour. Format the x-axis and tooltip with absolute values.</x:v>
      </x:c>
      <x:c r="B21" s="29"/>
      <x:c r="C21" s="29"/>
      <x:c r="D21" s="29"/>
      <x:c r="E21" s="29"/>
    </x:row>
  </x:sheetData>
  <x:mergeCells>
    <x:mergeCell ref="A2:E2"/>
    <x:mergeCell ref="A21:E21"/>
  </x:mergeCells>
  <x:pageMargins left="0.7" right="0.7" top="0.75" bottom="0.75" header="0.3" footer="0.3"/>
</x:worksheet>
</file>